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S:\OMVie\500.MAINTENANCE\17.MANAGEMENT\Incidents 2026\"/>
    </mc:Choice>
  </mc:AlternateContent>
  <xr:revisionPtr revIDLastSave="9" documentId="13_ncr:1_{C40C2E54-9025-43AB-8BA1-2A3E05470BBF}" xr6:coauthVersionLast="47" xr6:coauthVersionMax="47" xr10:uidLastSave="{D8A8D727-4E6A-40FF-9E38-FC962253009C}"/>
  <bookViews>
    <workbookView xWindow="28680" yWindow="-120" windowWidth="29040" windowHeight="15720" firstSheet="4" activeTab="4" xr2:uid="{C57E633D-203B-45CA-A118-067A56304CAF}"/>
  </bookViews>
  <sheets>
    <sheet name="NB INCIDENTS" sheetId="2" r:id="rId1"/>
    <sheet name="ORIGINE INCIDENTS" sheetId="3" r:id="rId2"/>
    <sheet name="GRAPHE ORIGINE" sheetId="5" r:id="rId3"/>
    <sheet name="SERVICE INCIDENTS" sheetId="4" r:id="rId4"/>
    <sheet name="TOUS LES INCIDENTS" sheetId="1" r:id="rId5"/>
  </sheets>
  <definedNames>
    <definedName name="_xlnm._FilterDatabase" localSheetId="4" hidden="1">'TOUS LES INCIDENTS'!$A$1:$R$625</definedName>
  </definedNames>
  <calcPr calcId="191028"/>
  <pivotCaches>
    <pivotCache cacheId="43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5" l="1"/>
  <c r="C6" i="5" s="1"/>
  <c r="C5" i="5" l="1"/>
  <c r="C16" i="5"/>
  <c r="C15" i="5"/>
  <c r="C14" i="5"/>
  <c r="C13" i="5"/>
  <c r="C12" i="5"/>
  <c r="C11" i="5"/>
  <c r="C10" i="5"/>
  <c r="C9" i="5"/>
  <c r="C8" i="5"/>
  <c r="C7" i="5"/>
</calcChain>
</file>

<file path=xl/sharedStrings.xml><?xml version="1.0" encoding="utf-8"?>
<sst xmlns="http://schemas.openxmlformats.org/spreadsheetml/2006/main" count="9855" uniqueCount="1805">
  <si>
    <t>INTERVENTION OMV</t>
  </si>
  <si>
    <t>OUI</t>
  </si>
  <si>
    <t>Nombre de N° d'Incident</t>
  </si>
  <si>
    <t>Étiquettes de colonnes</t>
  </si>
  <si>
    <t>janv</t>
  </si>
  <si>
    <t>févr</t>
  </si>
  <si>
    <t>mars</t>
  </si>
  <si>
    <t>Total général</t>
  </si>
  <si>
    <t>Étiquettes de lignes</t>
  </si>
  <si>
    <t>Cirvie</t>
  </si>
  <si>
    <t>ANOMALIE 990I</t>
  </si>
  <si>
    <t>ASSISTANCE UTILISATEURS</t>
  </si>
  <si>
    <t>BASE DE DONNEES</t>
  </si>
  <si>
    <t>BRIQUE FISCALE</t>
  </si>
  <si>
    <t>ERREUR SAISIE</t>
  </si>
  <si>
    <t>ETONNEMENTS METIER</t>
  </si>
  <si>
    <t>FICOVIE</t>
  </si>
  <si>
    <t>OST CPR</t>
  </si>
  <si>
    <t>PARAMETRAGE</t>
  </si>
  <si>
    <t>PROGRAMME</t>
  </si>
  <si>
    <t>RCAN</t>
  </si>
  <si>
    <t>VALSIN</t>
  </si>
  <si>
    <t>ORIGINE</t>
  </si>
  <si>
    <t>NB INCIDENTS</t>
  </si>
  <si>
    <t>POURCENTAGE</t>
  </si>
  <si>
    <t>TOTAL</t>
  </si>
  <si>
    <t>COMPTABILITE</t>
  </si>
  <si>
    <t>COURTAGE</t>
  </si>
  <si>
    <t>DECES</t>
  </si>
  <si>
    <t>DIRECTION TECHNIQUE</t>
  </si>
  <si>
    <t>RENTES</t>
  </si>
  <si>
    <t>RESEAU COMMERCIAL</t>
  </si>
  <si>
    <t>SAR NANCY</t>
  </si>
  <si>
    <t>SAT</t>
  </si>
  <si>
    <t>SER COL NANCY</t>
  </si>
  <si>
    <t>SER COL PARIS</t>
  </si>
  <si>
    <t>SER IND NANCY</t>
  </si>
  <si>
    <t>SER IND PARIS</t>
  </si>
  <si>
    <t>SPI NANCY</t>
  </si>
  <si>
    <t>SPI PARIS</t>
  </si>
  <si>
    <t>SRPC</t>
  </si>
  <si>
    <t>TOUS</t>
  </si>
  <si>
    <t>SAR PARIS</t>
  </si>
  <si>
    <t>SRC</t>
  </si>
  <si>
    <t>N° d'Incident</t>
  </si>
  <si>
    <t>Date d'émission</t>
  </si>
  <si>
    <t>Statut</t>
  </si>
  <si>
    <t>Sujet</t>
  </si>
  <si>
    <t>SERVICE</t>
  </si>
  <si>
    <t>Description</t>
  </si>
  <si>
    <t>Demandeur</t>
  </si>
  <si>
    <t>Urgence</t>
  </si>
  <si>
    <t>Origine2</t>
  </si>
  <si>
    <t>Bénéficiaire</t>
  </si>
  <si>
    <t>Incident parent</t>
  </si>
  <si>
    <t>Résolution immédiate</t>
  </si>
  <si>
    <t>Date de fin</t>
  </si>
  <si>
    <t>Traité par</t>
  </si>
  <si>
    <t>Cause réelle</t>
  </si>
  <si>
    <t>Enregistré par</t>
  </si>
  <si>
    <t>I26_000016</t>
  </si>
  <si>
    <t>Clôturé</t>
  </si>
  <si>
    <t>CV - CIRVIE</t>
  </si>
  <si>
    <t>NON</t>
  </si>
  <si>
    <t>Le Job A1P1CV45FA est en etat JOBFAILURE sur SMASPRO1 le 01/01/2026 a 05:39:32. RC=20</t>
  </si>
  <si>
    <t>SAUGER, Maxime</t>
  </si>
  <si>
    <t>3 - Moyenne</t>
  </si>
  <si>
    <t>Supervision</t>
  </si>
  <si>
    <t>EXP Opérations Domaine VCP</t>
  </si>
  <si>
    <t>Procédure</t>
  </si>
  <si>
    <t>I26_000019</t>
  </si>
  <si>
    <t>Le Job A1P1CV5060 est en etat JOBFAILURE sur SMASPRO1 le 01/01/2026 a 06:54:52. RC=20Le Job A1P1CV45FA est en etat JOBFAILURE sur SMASPRO1 le 01/01/2026 a 05:39:32. RC=20</t>
  </si>
  <si>
    <t>I26_000092</t>
  </si>
  <si>
    <t xml:space="preserve">PAS DE MOT DE PASSE CIRVIE
l'utilisateur nous informe qu'il ne connais pas le mot de passe de l'application vie </t>
  </si>
  <si>
    <t>CADEAU, Benjamin</t>
  </si>
  <si>
    <t>2 - Haute</t>
  </si>
  <si>
    <t>Téléphone</t>
  </si>
  <si>
    <t>BOSSERT, Guillaume</t>
  </si>
  <si>
    <t>I26_000195</t>
  </si>
  <si>
    <t xml:space="preserve">INCIDENT CIRVIE1) Référence(s) :- Secteur : SER I- Outil : CIRVIE- Type du sinistre : décès- Numéros de contrats : 29299 – 92562 - 0031927469210002) Situation attendue : Pouvez-vous vérifier et me confirmer que les capitaux réglés sont juste et que l’abattement pour Mme MALAN a bien été utilisé une seule fois ? Je joins à ce mail le courrier de Mme MALAN ainsi que la capture d’écran du SV0201 (gestion décès).3) Situation obtenue : Mme Valerie MALAN est l’une des bénéficiaires des 4 contrats de Mme Josiane LELUC. Mme MALAN a perçu sa part des capitaux pour les contrats 29299 – 92562 – 003192746921000 qui sont tous soumis au 990 I (le quatrième contrat n° 105301 est lui soumis au 757B).Mme MALAN revient vers nous car elle estime que l’abattement des 152 500 € a été appliqué plusieurs fois et que les assiettes taxables retenues dépassent parfois le montant des capitaux décès. </t>
  </si>
  <si>
    <t>BLERALD, Sandra</t>
  </si>
  <si>
    <t>Courriel</t>
  </si>
  <si>
    <t>MOA OMVie</t>
  </si>
  <si>
    <t>LOCQUENEUX, Morgan</t>
  </si>
  <si>
    <t>I26_000333</t>
  </si>
  <si>
    <t>CIRVIE ne s'affiche pas</t>
  </si>
  <si>
    <t>ROBIN, Marine</t>
  </si>
  <si>
    <t>LEGRIS, Orphee</t>
  </si>
  <si>
    <t>I26_000393</t>
  </si>
  <si>
    <t xml:space="preserve">APPLI VIE - MOT DE PASSE OUBLIE
L'utilisatrice a oublié son mot de passe d'accès à Appli VIE
 </t>
  </si>
  <si>
    <t>RANGSI, Tiao-Chansuda</t>
  </si>
  <si>
    <t>EXP Support Habilitation</t>
  </si>
  <si>
    <t>BINGONO NGUYSSOUA, Jean De Dieu</t>
  </si>
  <si>
    <t>I26_000459</t>
  </si>
  <si>
    <t>En attente de validation de la solution</t>
  </si>
  <si>
    <t>INCIDENT CIRVIE1) Référence(s) :- Secteur : SER I- Outil : CIRVIE- Type du sinistre : décès- Numéro de contrat : 0096565469100002) Situation attendue : Correction de l'anomalie.3) Situation obtenue : Mr Jean-Marc SOUILLOL est bénéficiaire du contrat 009656546910000 par parts égales avec ses deux sœurs.Le contrat étant soumis au 990 I, ils ont chacun demandé à bénéficier de la totalité de l’abattement.Mr Jean- Marc SOUILLOL a reçu 130 499, 42 € alors que ses deux sœurs ont reçu 141 428, 58 €.Je vous mets ci-dessous les captures d’écrans du SV0201 de chacun des bénéficiaires et en pièce jointe le PO26 ainsi que les bordereaux comptables.</t>
  </si>
  <si>
    <t>1 - Urgente</t>
  </si>
  <si>
    <t>ETD Domaine Vie</t>
  </si>
  <si>
    <t>Programme</t>
  </si>
  <si>
    <t>I26_000482</t>
  </si>
  <si>
    <t>ANOMALIE RACHAT PARTIEL1) Référence(s) :- Secteur : SER I- Outil : CIRVIE- Type du sinistre : rachat partiel- N° SOCIETAIRE : J82233P- N° de contrat : 140037- Montant du rachat : 3 000 € - Date d'effet du rachat : 23/12/20252) Situation attendue : Pouvoir valider le rachat pour ouverture PER , vu avec le conseiller qui maintient sa position . 3) Situation obtenue : Message d'incident sur ce contrat : montant rachat &gt; PM hors fond structuré</t>
  </si>
  <si>
    <t>SI AMER, Karima</t>
  </si>
  <si>
    <t>I26_000495</t>
  </si>
  <si>
    <t>CIRVIE - CONNEXION IMPOSSIBLE
appel car elle ne parviens pas a se connecter a Cirvie
PMAD impossible
Reset MDP ne change rien, cela ne fonctionne pas</t>
  </si>
  <si>
    <t>PIGEON, Nathalie</t>
  </si>
  <si>
    <t>FARDELLO, Lucas</t>
  </si>
  <si>
    <t>I26_000516</t>
  </si>
  <si>
    <t>MOT DE PASSE CIRIVEAppel car elle ne parviens pas a se connecter a cirvie</t>
  </si>
  <si>
    <t>I26_000526</t>
  </si>
  <si>
    <t>MDP VIE incorrect1) Référence(s) :2) Situation attendue : Réinitialiser son mdp VIE3) Situation obtenue : L'utilisatrice n'arrive pas à se connecter au module VIE. Ca lui indique : MDP incorrect.
Le MDP par défaut ne fonctionne pas non plus.</t>
  </si>
  <si>
    <t>BAHL, Maxime</t>
  </si>
  <si>
    <t>I26_000549</t>
  </si>
  <si>
    <t>DEMANDE DEBLOCAGE LOI PACTE1) Référence(s) :2025-079249-1SC : 656862BContrat : 0000000000516082) Situation attendue : Correction de l'anomalie.3) Situation obtenue : Mail reçu :Je me permets de venir vers vous car je suis bloqué pour cause loi pacte, pour une demande de versement Mr GARRETA.Je vous remercie par avance pour le déblocage.</t>
  </si>
  <si>
    <t>CHALLOYARD, Quentin</t>
  </si>
  <si>
    <t>I26_000574</t>
  </si>
  <si>
    <t>CIRVIE - Accès sinistres
1) Référence(s) : D. AKIRA le 05/01/20262) Situation attendue : Non accès au sinistres3) Situation obtenue : Paramétrage de A2AF28 Lina SCHALLER dans la table SV01 cf pièce jointe</t>
  </si>
  <si>
    <t>AKIRA, Dounia</t>
  </si>
  <si>
    <t>Métier</t>
  </si>
  <si>
    <t>PIVOT, Celine</t>
  </si>
  <si>
    <t>I26_000593</t>
  </si>
  <si>
    <t xml:space="preserve">CIRVIE - ERREUR PF5Contact car il y a une erreur PF5 sur Cirvie VIE
 </t>
  </si>
  <si>
    <t>TAKHMI-BELLOUT, Fadila</t>
  </si>
  <si>
    <t>I26_000602</t>
  </si>
  <si>
    <t xml:space="preserve">CIRVIE - Modification date d'effet contrats 
1) Référence(s) : Sociétaire : ALVEST INVESTMENT HOLDING // Numéro contrat SANTE: 190601100004447/ 190601100004448/ 190601100004449 // Numéro contrat PREVOYANCE: 190501100002454/ 190501100002455 2) Situation attendue : Correction de l'anomalie.3) Situation obtenue : Erreur date effet, suite à une erreur sur la maquette de mise en gestion. Il faudrait changer la date d’effet au 01/07/2025 au lieu du 01/09/2025. </t>
  </si>
  <si>
    <t>NAZROO, Shadia</t>
  </si>
  <si>
    <t>BENONI, Hyllan</t>
  </si>
  <si>
    <t>I26_000670</t>
  </si>
  <si>
    <t>INCIDENT CIRVIE1) Référence(s) : SOC : 568383Y2) Situation attendue : Correction de l'anomalie.3) Situation obtenue : Mail reçu :Je me permets de revenir vers vous suite à une demande de versement libre pour le SC 568383Y. La demande n’a pas été reçue dans les temps dû à un dysfonctionnement de TESSI. Le conseiller souhaite que le sociétaire puisse profiter de la valorisation et passer le versement libre à effet du 01/12.Est il possible d’effectuer un versement libre à effet rétroactif ?GED 2025-074502-1.</t>
  </si>
  <si>
    <t>CHEBANCE, Victorine</t>
  </si>
  <si>
    <t>I26_000728</t>
  </si>
  <si>
    <t xml:space="preserve">Mordication type RIB - PE01 - SC 436249H
1) Référence : N° sociétaire 436249H
2) Situation attendue : Modification du RIB/IBAN type 10 PERSONNEL vers type 02 PROFESSIONNEL 
3) Situation obtenue: Erreur d’enregistrement, le RIB professionnel a été enregistré sous le type 10 
 </t>
  </si>
  <si>
    <t>BAILLY, Brenda</t>
  </si>
  <si>
    <t>I26_000738</t>
  </si>
  <si>
    <t xml:space="preserve">CIRVIE - Anomalie Frais de tenue de compte BATIAVATANGES1) Référence(s) : OMV le 05/01/20262) Situation attendue : Correction programme + correction des contrats3) Situation obtenue : Les frais de tenue de compte posiitfs ont été calculés pour 3 contrats. Les montants en question peuvent être nuls ou négatifs.
107491900007047 support BRR -0,01 part 0,11€
107491900007061 support BRR -2,52 parts 27,67€
107491900006374 support BRR -0,02 parts 0,22€
 </t>
  </si>
  <si>
    <t>DUCLA, Alain</t>
  </si>
  <si>
    <t>I26_000809</t>
  </si>
  <si>
    <t>CIRVIE - Anomalie 000000000144948
1) Référence(s) : OMV le 06/01/20262) Situation attendue : Analyse et correction3) Situation obtenue : Anomalie dans le traitement UCB10
ANOMALIE Nø 8 2728-Nø Code Op‚ration inconnu en table N904 BMC 85 26/12/2025 000000000144948 04 D M 0,87000
Le contrat 000000000144948 a été passé en sans effet. L'arbitrage relais n'est pas annulé dans AG05 et le boost n'a pas été désinvesti, l'ordre est en attente dans UC50</t>
  </si>
  <si>
    <t>Référentiel</t>
  </si>
  <si>
    <t>I26_000907</t>
  </si>
  <si>
    <t>CIRVIE - Blocage PF5</t>
  </si>
  <si>
    <t>DORR, Christelle</t>
  </si>
  <si>
    <t>Systeme</t>
  </si>
  <si>
    <t>I26_000919</t>
  </si>
  <si>
    <t>CIRVIE - Modification SV01 A2A301
1) Référence(s) : D. AKIRA le 06/01/20262) Situation attendue : Modification du paramétrage SV01. cf pièce jointe3) Situation obtenue : Anne-Lorène PITTAU change de service. Elle va aus SRPC. Il convient de changer son profil dans SV01</t>
  </si>
  <si>
    <t>I26_001100</t>
  </si>
  <si>
    <t>Appel car il souhaite acceder pour la premiere fois à Cirvie</t>
  </si>
  <si>
    <t>BOUNOU, Yassine</t>
  </si>
  <si>
    <t>Mot de passe</t>
  </si>
  <si>
    <t>I26_001193</t>
  </si>
  <si>
    <t>IMPOSSIBLE D’OUVRIR UN SINISTRE SUITE RATIONALISATION DE SAGEVALEUR ET BATIEPARGNE
1) Référence(s) : sociétaire 286495V // contrat 000000000145071 // ES 223782) Situation attendue : ouvrir un sinistre3) Situation obtenue : j'ai passé un arbitrage décès au 01/01/2026 à la même que le transfert, peut être que c’est pour cette raison que je n’arrive pas à ouvrir de sinistre.</t>
  </si>
  <si>
    <t>BOUBRED, Fathia</t>
  </si>
  <si>
    <t>BONNOTTE, Guillaume</t>
  </si>
  <si>
    <t>I26_001228</t>
  </si>
  <si>
    <t>CIRVIE - SESSION DÉCONNECTÉL'utilisatrice nous appelle car sa seconde session CIRVIE ne se connecte plus.</t>
  </si>
  <si>
    <t>TASTET, Suzy</t>
  </si>
  <si>
    <t>SAMYN, Valentin</t>
  </si>
  <si>
    <t>I26_001255</t>
  </si>
  <si>
    <t xml:space="preserve">DEMANDE DE MOT DE PASSE APPLICATION VIE 
l'utilisateur ne connais pas le mot de passe de l'application vie et souhaite l'avoir </t>
  </si>
  <si>
    <t>OBJOIE, Stephane</t>
  </si>
  <si>
    <t>I26_001310</t>
  </si>
  <si>
    <t>MOT DE PASSE SITE CENTRAL OUBLIE
L’utilisatrice souhaite accéder au Site Central mais son mot de passe ne fonctionne plus.</t>
  </si>
  <si>
    <t>MERCIER, Elodie</t>
  </si>
  <si>
    <t>I26_001359</t>
  </si>
  <si>
    <t>CIRVIE - ANOMALIE LORS D'UNE DEMANDE DE MISE EN PLACE DE GESTION DELEGUEE
1) Référence(s) : Contrat : 000000000135508 / SC : J32678P // Voir document2) Situation attendue : Correction de l'anomalie.3) Situation obtenue : L'utilisateur est bloqué pour une demande de mise en place gestion déléguée. Cirvie lui indique police invalide, mais il ne vois pas de blocage sur le contrat.</t>
  </si>
  <si>
    <t>I26_001372</t>
  </si>
  <si>
    <t>En cours</t>
  </si>
  <si>
    <t>Cirvie. Anomalie au moment du rattachement des bénéficiaires au sinistre. Correction programme
1) Référence(s) : Lié à l'incident I25_1036382) Situation attendue : Ne pas pouvoir saisir un autre arbitrage décès alors qu'il a déjà été saisi et un SV DC est ouvert également.3) Situation obtenue : La Gestion a pu saisir un autre arbitrage DC.Merci de bloquer cette possibilité si un arbitrage décès est déjà saisi sur le contrat.</t>
  </si>
  <si>
    <t>ARBAOUI, Mustapha</t>
  </si>
  <si>
    <t>I26_001380</t>
  </si>
  <si>
    <t>APPLI VIE - MOT DE PASSE OUBLIE
l'utilisatrice n'a pas son mdp Appli VIE</t>
  </si>
  <si>
    <t>I26_001385</t>
  </si>
  <si>
    <t>BLOCAGE CIRVIEL'utilisatrice est bloquée sur Cirvie (PF5 pour forcer).</t>
  </si>
  <si>
    <t>JACOB FRAXE, Emmanuelle</t>
  </si>
  <si>
    <t>I26_001459</t>
  </si>
  <si>
    <t>BLOCAGE CIRVIE
L'utilisatrice est bloquée sur Cirvie (PF5 pour forcer).</t>
  </si>
  <si>
    <t>PITTAU, Anne-Lorene</t>
  </si>
  <si>
    <t>Logiciel</t>
  </si>
  <si>
    <t>I26_001460</t>
  </si>
  <si>
    <t>CIRVIE - Montant cotisations prévoyance par garantie
1) Référence(s) : Voir document / Table GPTB12 /Ecran CIRVIE GP062) Situation attendue : Les montants de cotisation devraient correspondre.3) Situation obtenue : Il existe des cotisations dont les montants des cotisations par garantie ne correspondent pas entre la table GPTB12 et l’AS400.Nous donnons l’exemple de la quittance 6902268.Pour la garantie 5316, nous avons 57€ d’écart entre ce qui est visible dans l’AS400 et la table GPTB12.</t>
  </si>
  <si>
    <t>LUCADELLO, Jerome</t>
  </si>
  <si>
    <t>I26_001543</t>
  </si>
  <si>
    <t>CIRVIE - MOT DE PASSE ERRONÉ
L'utilisatrice a un message de mot de passe erroné.</t>
  </si>
  <si>
    <t>BASSOMPIERRE, Alexandra</t>
  </si>
  <si>
    <t>I26_001554</t>
  </si>
  <si>
    <t>En attente</t>
  </si>
  <si>
    <t>CIRVIE - Montant sinistre TU BRCresp UR erroné différent de la valeur de transfert1) Référence(s) : Sociétaire n°     594980CContrat n°     33095    BRC URAffilié n°     100059Affiliation n°     100008098 radiée au 01/09/2025Sinistre n°    2026-1269 au 01/01/2026 en Arrérage Uniquevoir document2) Situation attendue : La valeur de transfert était de 23 591,16 € au 31/12/2025. Le montant du sinistre au 01/01/2026 devrait être au moins du même montant.3) Situation obtenue : Le montant du sinistre au 01/01/2026 n’est plus que de 16 070,54 €.Pourtant, la valeur de transfert intégrait bien la cotisation de décembre 2024 depuis l’incident n° I25_081037 corrigé le 19/11/2025. Avant correction, elle était de 23 514,61 €.</t>
  </si>
  <si>
    <t>DEBOUT, Nathalie</t>
  </si>
  <si>
    <t>I26_001680</t>
  </si>
  <si>
    <t xml:space="preserve">Déblocage PF51) Référence(s) : 2) Situation attendue : Pouvoir se reconnecter à CIRVIE3) Situation obtenue : L'utilisatrice est bloquée sur CIRVIE, elle ne peut plus s'authentifier sur VIE. Ca lui marque que sa session est bloquée.
 </t>
  </si>
  <si>
    <t>MAISON, Virginie</t>
  </si>
  <si>
    <t>I26_001805</t>
  </si>
  <si>
    <t>SUPPRESSION DE L'ERREUR VALSIN
1) Référence(s) : Voir document / Numéro de sociétaire : 406157C / Numéro de contrat : 85883 / Numéro ES : 1312) Situation attendue : correction de l'erreur VALSIN.3) Situation obtenue : L'utilisatrice rencontre un Message d'erreur B029-Incident sur ce contrat (VALSIN OMV)</t>
  </si>
  <si>
    <t>I26_001807</t>
  </si>
  <si>
    <t>CIRVIE ECART DANS LES QUITTANCES
1) Référence(s) : Numéro de quittances : 6889462, 6855073, 6922648, 6952049, 6781113, 6991508, 6889121, 68836842) Situation attendue : Ces quittances devraient être annulées dans le fichier SATPRI.3) Situation obtenue : Ces quittances sont réglées dans CIRVIE (impayées puis réglées, OK dans CIRVIE), par contre en compta on a une double émission.</t>
  </si>
  <si>
    <t>I26_001851</t>
  </si>
  <si>
    <t xml:space="preserve">Blocage Transfert impossible : d’un contrat collectif vers PER individuel 
1) Référence(s) : Voir document /Numéros de sociétaires: F12231L / Numéro de contrat du service collectif: 136933 / Numéro d’affiliation: 100042961                   
2) Situation attendue : Passer l’affaire nouvelle par transfert dans la transaction PO0520.  3) Situation obtenue :  L'utilisateur n'arrive pas a faire de transfère, instance déjà sortie. </t>
  </si>
  <si>
    <t>BUTERA, Seth</t>
  </si>
  <si>
    <t>I26_001896</t>
  </si>
  <si>
    <t xml:space="preserve">INCIDENT SUR UN CONTRAT CONTENTIEU
1) Référence(s) : Ged: 2026-001269-1 / SC: 301236D / contrat: 2385 / Voir document 2) Situation attendue : Correction de l'anomalie3) Situation obtenue :L'utilisatrice nous informes que le sociétaire souhaite mettre en place des rachats programmés sur le contrat BE 2385 cependant il y a un blocage « B029-Incident sur ce contrat (CONTENTIEU) ». </t>
  </si>
  <si>
    <t>I26_001903</t>
  </si>
  <si>
    <t>I26_001915</t>
  </si>
  <si>
    <t>INCIDENT VALSIN
1) Référence(s) : Numéro de contrat : 003272856924000 / Numéro GED :  2026-000731-1 / Numéro sociétaire : 327285J2) Situation attendue : Avoir l'information pour procéder au FOURGOUS, et communiquer l’historique des versement  pour le PEP.3) Situation obtenue :  L'utilisatrice a reçu une demande FOURGOUS mais a un incident VALSIN.</t>
  </si>
  <si>
    <t>OUBAICHE, Ikram</t>
  </si>
  <si>
    <t>I26_002067</t>
  </si>
  <si>
    <t>INCIDENT VALSIN
1) Référence(s) : Sociétaire : 113573G/ Contrat : 001135736924000 / DONNEZAN MARC / Voir document2) Situation attendue : levée de l’incident pour effectuer un transfert FOURGOUS GED 2026-000994-13) Situation obtenue : B029-Incident sur ce contrat (VALSIN OMV).</t>
  </si>
  <si>
    <t>I26_002133</t>
  </si>
  <si>
    <t>PREMIERE CONNEXION CIRVIE
Appel pour mettre en place ses identifiants cirvie</t>
  </si>
  <si>
    <t>ACHAIBOU, Abdelkader</t>
  </si>
  <si>
    <t>I26_002257</t>
  </si>
  <si>
    <t xml:space="preserve">Cirvie - Non continuité DEEFMDF-DEFFIN
1) Référence(s) : Mail de patrick Rotin 2) Situation attendue : Corriger DEEFMDF-DEFFIN du contrat 140463 afin qu'il n'y ait pas de rupture3) Situation obtenue : Pas d'avenant entre 05/11/2024 et le 04/02/2025
 </t>
  </si>
  <si>
    <t>HENRIQUES, Maina</t>
  </si>
  <si>
    <t>Base de données</t>
  </si>
  <si>
    <t>I26_002323</t>
  </si>
  <si>
    <t xml:space="preserve">CIRVIE - Etat de justification des taxes 990I  1) Référence(s) : voir document2) Situation attendue : Fichier de justification de taxe correcte.
Rattrapage : 
Correction du programme afin que l’état soit correct pour la déclaration à la DGFIP . Est-il possible d’ajouter également le nom des colonnes ?
3) Situation obtenue : Etat de taxe 990I de décembre 2025 est erroné : le document présente certaines incohérences,   les lignes concernées ont été surlignées      En violet : Montant de taxe alors que la base est à zéro    En orange : le taux de taxe recalculé n’est pas de 20 % , ni 31,25% mais de 74.42% </t>
  </si>
  <si>
    <t>BJELIC, Dragana</t>
  </si>
  <si>
    <t>I26_002543</t>
  </si>
  <si>
    <t>CIRVIE - Anomalie Frais médicaux
1) Référence(s) : Sinistre : 202400000053260 / Contrat : 101489 :  santé collective / Police : 1906011000033472) Situation attendue : Il devrait y avoir une cohérence entre CIRVIE et le fichier SATSIN.3) Situation obtenue : Les frais médicaux dont la date de facturation est le 03/11/2025 sont enregistrés dans CIRVIE mais absent en Compta (SATSIN).</t>
  </si>
  <si>
    <t>I26_002552</t>
  </si>
  <si>
    <t>CIRVIE - Annulation des frais forfaitaires sur BMS1) Référence : SOBREL SAS - sociétaire n° 237374V - BMS 23737449190002) Situation obtenue : Sur AG05, frais forfaitaires au 02/01/2025 de 404,88 € et au 02/01/2026 de 397,91 €.3) Situation attendue : Accord du RC pour annulation de ces frais et réintégration dans la PM.</t>
  </si>
  <si>
    <t>WIRTHEIM, Michele</t>
  </si>
  <si>
    <t>I26_002600</t>
  </si>
  <si>
    <t>JARD, Corinne</t>
  </si>
  <si>
    <t>I26_002607</t>
  </si>
  <si>
    <t>PF5 CIRVIE
Appel car elle a un blocage PF5 sur Cirvie Vie</t>
  </si>
  <si>
    <t>COLLET-METAIRIE, Helene</t>
  </si>
  <si>
    <t>I26_002797</t>
  </si>
  <si>
    <t>GRINAT, Nour</t>
  </si>
  <si>
    <t>I26_002843</t>
  </si>
  <si>
    <t xml:space="preserve">CIRVIE - Blocage rachat VALSIN OMV
1) Référence(s) : N° de sociétaire : F28568Q / Type d’acte : rachat partiel / Montant : 20000€2) Situation attendue : Saisie d’un rachat partiel.3) Situation obtenue : Au moment de la saisie du rachat, blocage « B029-Incident sur ce contrat (VALSIN OMV) » </t>
  </si>
  <si>
    <t>LE MONNIER, Morgan</t>
  </si>
  <si>
    <t>I26_002854</t>
  </si>
  <si>
    <t>CIRVIE - BLOCAGE MODIFICATION RIB
1) Référence(s): Soc n° C60529P SNOT SOCIETE NORMANDE DE TRAVAUX 2) Situation attendue : pouvoir procéder à la modification du code 01 en 02.3) Situation obtenue : le RIB du sociétaire a été enregistré en 01 (personnel) et non en 02 (professionnel). Lorsque je souhaite procéder à la modification en PE01 un blocage apparait.</t>
  </si>
  <si>
    <t>GASCARD, Celina</t>
  </si>
  <si>
    <t>I26_002866</t>
  </si>
  <si>
    <t>DEMANDE DE DEBLOCAGE LOI PACTE
1) Référence(s) : SC : 537115D / Contrat : 000000000023025 / 2026-001580-1
2) Situation attendue : Si il dois annuler le rachat programmé, ou si il peux effectuer un rachat avec création automatique d’instance sur le contrat de Mme.3) Situation obtenue : nous recevons ce jour une nouvelle demande de rachat pour Mr BOUCASSOT, qui souhaite effectuer un rachat de 150 000 € sur son contrat pour réemploi sur le contrat de son épouse SC 676879U.</t>
  </si>
  <si>
    <t>I26_002907</t>
  </si>
  <si>
    <t>CIRVIE - Etonnements métier - Sinistres ouverts non réglés
1) Référence(s) : V. PAWELKO le 13/01/20262) Situation attendue : Analyse de la gestion sur les sinistres ouverts non réglés3) Situation obtenue : 28 sinistres sont ouverts et non réglés</t>
  </si>
  <si>
    <t>PAWELKO, Virginie</t>
  </si>
  <si>
    <t>I26_002914</t>
  </si>
  <si>
    <t>CIRVIE - Etonnements métier - Contrats en cours sans quittances réglées
1) Référence(s) : V. PAWELKO le 13/01/20262) Situation attendue : Analyse de la gestion3) Situation obtenue : 7 contrats pour lesquels il n'y a aucune quittance réglée.</t>
  </si>
  <si>
    <t>I26_002915</t>
  </si>
  <si>
    <t>CIRVIE - Etonnements métier - Age départ à laretraite inf à 60 ans
1) Référence(s) : V. PAWELKO le 13/01/20262) Situation attendue : Analyse de la gestion et retour3) Situation obtenue : 1 contrat a un âge de départ à la retraite inférieur à 60 ans.</t>
  </si>
  <si>
    <t>I26_002917</t>
  </si>
  <si>
    <t>CIRVIE - Etonnements métier - Personnes sans adresse naissance
1) Référence(s) : V. PAWELKO le 13/01/20262) Situation attendue : Saisie des adresses de naissance dans CIRVIE par la gestion3) Situation obtenue : 8 nouvelles personnes n'ont pas d'adresse de naissance</t>
  </si>
  <si>
    <t>I26_002918</t>
  </si>
  <si>
    <t>CIRVIE - Etonnements métier - Prestation PER et personne sans NIR
1) Référence(s) : V. PAWELKO le 13/01/20262) Situation attendue : Saisie du NIR sur la personne par la gestion3) Situation obtenue : 1 sinistre sur un contrat PER dont le NIR n'est pas renseigné au niveau de la personne</t>
  </si>
  <si>
    <t>I26_002925</t>
  </si>
  <si>
    <t>CIRVIE - Etonenements métier - Compartiments PER
1) Référence(s) : V. PAWELKO le 13/01/20262) Situation attendue : Analyse de la gestion3) Situation obtenue : 65 versements sur le PER dont le compartiment n'est pas le compartiment déductible</t>
  </si>
  <si>
    <t>I26_002928</t>
  </si>
  <si>
    <t>CIRVIE - Etonnements métier - Courtage
1) Référence(s) : V. PAWELKO le 13/01/20262) Situation attendue : Analyse de la gestion3) Situation obtenue : Etonnements métier relatifs au courtage
Contrats sans aucune quittance encaissée/Contrats sans cotisations mais avec des prestationsContrats ayant 2 périodes consécutives échues sans cotisationsQuittances pour lesquelles le mode de commissionnement n'est pas conforme à celui connu dans Cirvie au niveau du contratSociétaires pour lesquels les cotisations taxées à 20,27% dépassent celles taxées à 13,27%</t>
  </si>
  <si>
    <t>I26_002986</t>
  </si>
  <si>
    <t>ECRAN NOIR CIRVIE
Appel car elle a un écran noir sur cirvie
CP23384_*</t>
  </si>
  <si>
    <t>I26_003018</t>
  </si>
  <si>
    <t>PROFIL DESACTIVELa connexion au Site Central ne fonctionne pas car le profil utilisateur est désactivé.</t>
  </si>
  <si>
    <t>I26_003099</t>
  </si>
  <si>
    <t>APPLI VIE - MOT DE PASSE ERRONE
L'utilisateur ne parvient pas d'acceder à l'Appli Vie car le mot de passe est erroné</t>
  </si>
  <si>
    <t>CHEVALLIER, J-Christophe</t>
  </si>
  <si>
    <t>I26_003132</t>
  </si>
  <si>
    <t>PASSAGE AVENANT IMPOSSIBLE1) Référence(s) : Sociétaire : L03729CContrat : 1074919000070692) Situation attendue : Application des 30 % au niveau des charges sociales. 3) Situation obtenue : Le contrat BAV MS a été enregistré sans de taux de charges sociales. Et nous ne pouvons pas annuler la quittance pour faire l’avenant de modification.</t>
  </si>
  <si>
    <t>CHEA, Kaniktha Linda</t>
  </si>
  <si>
    <t>I26_003144</t>
  </si>
  <si>
    <t>I26_003277</t>
  </si>
  <si>
    <t xml:space="preserve">E9003 Aucune conversation existante ou autorisée1) Référence(s) :2) Situation attendue : Retrouver ses habilitations dans le module VIE3) Situation obtenue : L'utilisatrice n'a plus d'habilitation dans le module VIE.
Erreur : " E9003 Aucune conversation existante ou autorisée "
- Purge session Cirvie + déblocage PF5 =&gt; NOK
- Deco/Reco =&gt; NOK
Elle précise que ce matin, ça fonctionnait.
 </t>
  </si>
  <si>
    <t>Habilitations</t>
  </si>
  <si>
    <t>I26_003499</t>
  </si>
  <si>
    <t xml:space="preserve">PLUS D'ACCES A CIRVIE
1) Référence :
2) Situation attendue : Pouvoir utilisé cirvie
3) Situation obtenue: l'utilisatrice nous informe qu'elle ne peut plus travailler sur cirvie car lorsqu'elle se connecter un message d'erreur apparait "E9003 Aucune conversation existante ou autorisée"
Tests effectués :
- Redémarrage de la session -&gt; NOK
- Redémarrage du poste -&gt; NOK
- Déconnexion forcé via as400 -&gt; NOK
 </t>
  </si>
  <si>
    <t>LAKEHAL, Kalida</t>
  </si>
  <si>
    <t>I26_003541</t>
  </si>
  <si>
    <t>L'utilisatrice à un blocage PF5.</t>
  </si>
  <si>
    <t>PALMISTE, Muriel</t>
  </si>
  <si>
    <t>I26_003572</t>
  </si>
  <si>
    <t xml:space="preserve">Cirvie. Anomalie taxe 990I. SC 319274U1) Référence(s) : Lié à l'incident I26_0004592) Situation attendue : Montants taxe 990I et Net corrects pour le bénéficiaire3) Situation obtenue :
Montants incorrects pour le bénéf n° 107741.
 </t>
  </si>
  <si>
    <t>I26_003628</t>
  </si>
  <si>
    <t>CIRVIE - Contrat résilié à tort1) Référence(s) : 2) Situation attendue : réouverture du contrat3) Situation obtenue : Pouvez-vous s’il vous plaît réouvrir le contrat 190501100001526, il a été résilié à tort.</t>
  </si>
  <si>
    <t>I26_003675</t>
  </si>
  <si>
    <t>CIRVIE - Problème accès table1) Référence(s) : • Numéro de contrat : 000000000136261• Numéro GED : 2025-074763-1• Numéro sociétaire : J16252Y• Affiliation : 100055494• Date d’effet : 18/12/20252) Situation attendue : levé du blocage3) Situation obtenue : Plusieurs tentatives de saisie s’achèvent avec le message d’erreur "0216-Problème acces table a903"</t>
  </si>
  <si>
    <t>Indéterminé</t>
  </si>
  <si>
    <t>I26_003690</t>
  </si>
  <si>
    <t>CIRVIE - Remise en vigueur de contrats1) Référence(s) : 1906011000034961906011000034971906011000035061906011000035071906011000034941906011000034951906011000035021905011000018871905011000018441905011000018481905011000018571905011000018471905011000018521905011000018542) Situation attendue : REMISE EN VIGUEUR DU CONTRAT – ANNULATION DE LA RESILIATION3) Situation obtenue : Résiliation par erreur.</t>
  </si>
  <si>
    <t>I26_003695</t>
  </si>
  <si>
    <t>CIRVIE - Sinistre 2024 non clos1) Référence(s) : MOVILLIAT CHRISTIANE - SC 319215R - Contrat n°0031921569210002) Situation attendue : résoudre la situation3) Situation obtenue : Mme BERTON ne peut pas intervenir sur le sinistre. Il n’y avait qu’un bénéficiaire lequel a réinvesti les fonds sur son contrat n°85404. Le dossier a été clôturé en Août 2024. Pour autant le sinistre apparait toujours comme  non clos.</t>
  </si>
  <si>
    <t>BERTON, Manuela</t>
  </si>
  <si>
    <t>I26_003704</t>
  </si>
  <si>
    <t>I26_003739</t>
  </si>
  <si>
    <t>CIRVIE - ERREUR PF5
L'utilisatrice a une erreur PF5 sur CIRVIE.</t>
  </si>
  <si>
    <t>I26_003776</t>
  </si>
  <si>
    <t>CIRVIE - Anomalie intégration des affiliés/salariés1) Référence(s) : voir document2) Situation attendue : bonne intégration des données3) Situation obtenue : Il apparaît que les données ne sont pas systématiquement reprises de manière complète sous PE01 : le numéro NIR et la date de naissance des affiliés sont parfois absents.En revanche, la date de naissance est bien renseignée à côté du nom de l’affilié dans la liste des affiliés, par numéro de contrat entreprise.</t>
  </si>
  <si>
    <t>I26_003788</t>
  </si>
  <si>
    <t>ACCES CIRVIE VIEL'utilisatrice n'a plus le mot de passe pour l'accès à CIRVIE VIE.</t>
  </si>
  <si>
    <t>AZIZI, Hakima</t>
  </si>
  <si>
    <t>I26_003798</t>
  </si>
  <si>
    <t>CIRVIE - Erreur année sur avenant1) Référence(s) : SC H43144M 006093700000796 BATISANTE Major voir document2) Situation attendue : annuler l'avenant3) Situation obtenue : un avenant a été passé au 14/01/2025 au lieu de 2026 et le délai de rétroactivité est dépassé</t>
  </si>
  <si>
    <t>ROUGE, Audrey</t>
  </si>
  <si>
    <t>I26_003801</t>
  </si>
  <si>
    <t>En attente de validation de l'analyse</t>
  </si>
  <si>
    <t>CIRVIE - M. CHAUSSE inscrit sur les courriers envoyés aux affiliés radiés1) Référence(s) : voir document2) Situation attendue : bon conseiller indiqué sur les courriers3) Situation obtenue : M. Gregor CHAUSSE apparait comme conseiller sur les courriers envoyés aux affiliés radiés, même BD
Secteur : Epargne collective
Contrat : PER ENTREPRISE</t>
  </si>
  <si>
    <t>FAURE, Marie-Rose</t>
  </si>
  <si>
    <t>I26_003884</t>
  </si>
  <si>
    <t>SITE CENTRAL NON INSTALLER
1) Référence(s) : +331580160592) Situation attendue : Avoir site central sur son poste.3) Situation obtenue : L'utilisatrice n'a pas site central avec CIRVIE sur son poste meme quand on regarde sur le portail entreprise, il ne se trouve pas pour l'installer.</t>
  </si>
  <si>
    <t>LAURENT, Angelique</t>
  </si>
  <si>
    <t>I26_003888</t>
  </si>
  <si>
    <t xml:space="preserve">IMPOSSIBLE D'ACCEDER A L'APPLICATION VIE
1) Référence :
2) Situation attendue : Pouvoir se connecter via ses identifiant P et I
3) Situation obtenue: l'utilisateur nous informe qu'il n'arrive pas à se connecter à sa session P et I car le mot de passe est erroné (Précision SVP GUB : l'utilisateur souhaite se connecter via les identifiant PA1AB16 et IA1AB16 sur demande de mme PIVOT CELINE)
 </t>
  </si>
  <si>
    <t>DURAN ROCA, Julio</t>
  </si>
  <si>
    <t>I26_003898</t>
  </si>
  <si>
    <t xml:space="preserve">IMPOSSIBLE D'OUVRIR CIRVIE
L'utilisatrice nous informe qu'elle n'arrive pas à se connecter à cirvie car la page s'est ouverte mais rien ne s'affiche 
 </t>
  </si>
  <si>
    <t>BULOT, Stephanie</t>
  </si>
  <si>
    <t>I26_003979</t>
  </si>
  <si>
    <t>I26_004044</t>
  </si>
  <si>
    <t xml:space="preserve">CIRVIE - VIREMENT IMPOSSIBLE SUR EXECICE 2026
1) Référence(s) : Client: SOTRAIX SARL 236690W / Contrat : 0023669049190012) Situation attendue : Remise en vigueur du contrat pour pouvoir réaliser le VL.3) Situation obtenue : L'utilisateur nous informe que le sociétaire souhaite faire un VL de 10 000 euros sur exercice 2026. Impossible suite à la résiliation du BAVMS du 02/01/2026. </t>
  </si>
  <si>
    <t>DAOUD, Abdel-Fars</t>
  </si>
  <si>
    <t>I26_004074</t>
  </si>
  <si>
    <t>CIRVIE - BLOCAGE VALSIN
1) Référence(s) : Voir document / Numéros de sociétaires :  002568U / Numéro de contrat :
000025686924001 / Numéro GED : 2026-002076-12) Situation attendue : Déblocage VALSIN.3) Situation obtenue : L'utilisateur rencontre un message VALSIN sous sv0202 pour le FOURGOUS du contrat.</t>
  </si>
  <si>
    <t>I26_004086</t>
  </si>
  <si>
    <t>CIRVIE - ANNULATION IMPOSSIBLE QUITTANCE
1) Référence(s) : Sociétaire 264979W SURCIN TRAVAUX PUBLICS SAS / Contrat BAVMS 002649796919000
2) Situation attendue : Pouvoir annuler cette quittance et pouvoir la replacer sur la bonne période.
3) Situation obtenue : L'utilisatrice nous contacte car elle ne peut pas annuler une quittance de 5 966.79€ faite sur le mois de janvier 2024 au lieu de 2025.</t>
  </si>
  <si>
    <t>I26_004107</t>
  </si>
  <si>
    <t xml:space="preserve">Anomalie capital DC T4 2025 Cirvie Compta
1) Référence : Num sinistre : 202500000033040
2) Situation attendue : Le montant de règlement réel est 46 261, 40€, comme dans l’AS400
3) Situation obtenue: Le montant de capital décès saisis en compta est 92 522,78€.
 </t>
  </si>
  <si>
    <t>CHEMINGUI, Meriem</t>
  </si>
  <si>
    <t>I26_004109</t>
  </si>
  <si>
    <t>CIRVIE - Annulation décès prévoyance1) Référence(s) :2) Situation attendue : Comptabilisation de l’annulation et pas d’écart avec le SAT
Rattrapage : CRE de rattrapage attendu
3) Situation obtenue : Ecart SAT/ANAEL :  sinistre 2024-52789 il manque l’annulation dans ANAEL   
Les CRE d'annulation du sinistre décès n’ont pas été transmis par CIRVIELe sinistre a été annulé le 28/08</t>
  </si>
  <si>
    <t>I26_004112</t>
  </si>
  <si>
    <t>CIRVIE - Remise en cours de contrats1) Référence(s): 2) Situation attendue : remettre en cours les contrats3) Situation obtenue : Merci de remettre en cours les contrats suivant sur Cirvie afin d’enregistrer des sinistres prévoyance, s’il vous plaît. Voici les références :- 190501100002178- 190501100001446- 190501100001745</t>
  </si>
  <si>
    <t>I26_004113</t>
  </si>
  <si>
    <t>Anomalie : règlement annulé en gestion mais pas en compta T4 2025
1) Référence : Sinistre 202400000052789
2) Situation attendue : Annulation de ce règlement de 38 599,740€.
3) Situation obtenue: Règlement de 38 599,740€ annulé dans le système de gestion mais toujours visible en compta. 
 CIRVIE - Annulation décès prévoyance1) Référence(s) :2) Situation attendue : Comptabilisation de l’annulation et pas d’écart avec le SAT
Rattrapage : CRE de rattrapage attendu
3) Situation obtenue : Ecart SAT/ANAEL :  sinistre 2024-52789 il manque l’annulation dans ANAEL   
Les CRE d'annulation du sinistre décès n’ont pas été transmis par CIRVIELe sinistre a été annulé le 28/08</t>
  </si>
  <si>
    <t>I26_004188</t>
  </si>
  <si>
    <t>L'utilsateur a oublié son mot de passe Appli VIE</t>
  </si>
  <si>
    <t>VIOT, Charles-Eric</t>
  </si>
  <si>
    <t>I26_004268</t>
  </si>
  <si>
    <t>SC - Souscripteurs CIRVIE</t>
  </si>
  <si>
    <t xml:space="preserve">Le Job XZP1SC50UA est en etat JOBFAILURE sur x24812pa le 16/01/2026 a 09:16:54. RC=1
ouvrir un dn
 </t>
  </si>
  <si>
    <t>MOREAU, Edouard</t>
  </si>
  <si>
    <t>EXP Opérations IGP</t>
  </si>
  <si>
    <t>Batch</t>
  </si>
  <si>
    <t>I26_004309</t>
  </si>
  <si>
    <t>CIRVIE - VALIDATION DU PE01 IMPOSSIBLE
1) Référence(s) : Voir document / Soc N° 354508L / Contrat : 138239 / N° AF : 1907172) Situation attendue : Pouvoir valider le pe01 et faire la modification du RIB et l'adresse.3) Situation obtenue : Validation impossible du pe01.</t>
  </si>
  <si>
    <t>SULTAN, Sunita</t>
  </si>
  <si>
    <t>I26_004320</t>
  </si>
  <si>
    <t>CIRVIE - VP prélevé à tord et IFU
1) Référence(s) : Voir document / GED : 2026-002403-1 / SC 526483A / Contrat : 0000000001181072) Situation attendue : Correction de l'anomalie.3) Situation obtenue : Le VP annuel de 1020.95 euros a été crédité sur le PERin de notre sociétaire. Hors le BD lui indique que le sociétaire n’est plus TNS depuis 01/2025 et que ce VP ne devait pas avoir lieu.ils lui demande le remboursement de celui-ci. Pour ce faire, il dois notifier la quittance 000000007028757 en ABANDON et demander à la compta de reverser l’instance sur le compte prélevé.</t>
  </si>
  <si>
    <t>MANGIN, Laurie</t>
  </si>
  <si>
    <t>I26_004349</t>
  </si>
  <si>
    <t>CIRVIE - Versement à recycler
1) Référence(s) : Voir document / N° SOCIETAIRE : J13559Z / N° de contrat : 132961 / Montant du versement : 1 500 € / Date d'effet du versement : 14/01/20262) Situation attendue : Pouvoir valider et clôturer la demande.3) Situation obtenue : L'utilisatrice a reçu un message d'incident sur le contrat à recycler.</t>
  </si>
  <si>
    <t>Extérieure</t>
  </si>
  <si>
    <t>I26_004372</t>
  </si>
  <si>
    <t>CIRVIE - Mdp pour partie VIE nok</t>
  </si>
  <si>
    <t>ROBERT, Benoit</t>
  </si>
  <si>
    <t>I26_004381</t>
  </si>
  <si>
    <t>ANOMALIE REGULARISATIONS1) Référence(s) : NUM_VIE 101497SANTE COLLECTIVE COURTAGE2) Situation attendue : Ajout de ces régularisations3) Situation obtenue : Des régularisations sont enregistrées en compta mais pas en CIRVIE (SATPRI) (voir pièce jointe)</t>
  </si>
  <si>
    <t>I26_004382</t>
  </si>
  <si>
    <t>INCIDENT VALSIN1) Référence(s) :Numéro de sociétaire : 063279RNuméro de contrat : 000000000100124Numéro ES : 586932) Situation attendue : SUPPRIMER LE MESSAGE VALSIN3) Situation obtenue : Message B029-Incident sur ce contrat (VALSIN OMV)</t>
  </si>
  <si>
    <t>I26_004401</t>
  </si>
  <si>
    <t>PROBLEME CONNEXION CIRVIE
Appel car elle ne parviens pas a se connecter a cirvie</t>
  </si>
  <si>
    <t>BRAJON, Maria</t>
  </si>
  <si>
    <t>I26_004402</t>
  </si>
  <si>
    <t>UTILISATEUR BLOQUE PF5L'utilisateur a des messages lorsqu'il est sur VIE dans CIRVIE.</t>
  </si>
  <si>
    <t>MULLER, Ronan</t>
  </si>
  <si>
    <t>FONTAINE, Claude</t>
  </si>
  <si>
    <t>I26_004468</t>
  </si>
  <si>
    <t xml:space="preserve">Modification abandon de plan RP PL05
1) Référence : Ged 2026-002757-1SC 412895Wcontrat 83107
2) Situation attendue : Correction de l'incident valsin
3) Situation obtenue: Bonjour, le sociétaire souhaite mettre fin à ses rachats programmés sur le contrat BE 83107 cependant il y a un blocage incident VALSIN, dans l’attente de votre retour pour la saisie de l’abandon du plan des rachats programmés.
 </t>
  </si>
  <si>
    <t>I26_004505</t>
  </si>
  <si>
    <t xml:space="preserve">Impayé coordonnées bancaires inexploitables 
1) Référence : Ged 2026-002555-1 sc 512272M contrat 16083
2) Situation attendue : indiquer pour quelle raison le prélèvement a été rejeté et comment représenter le prélèvement
3) Situation obtenue: Bonjour, la sociétaire a effectué un versement de 15 000 € sur le contrat 16083 en date du 17/12/2025. Ce dernier a été annulé pour coordonnées bancaires inexploitables, or le RIB est le bon et est bien renseigné en PE01 et en PO15.
 </t>
  </si>
  <si>
    <t>I26_004508</t>
  </si>
  <si>
    <t>Impayé coordonnées bancaires inexploitables
1) Référence : Ged 2026-002561-1sc 512271Lcontrat 16079
2) Situation attendue : indiquer pour quelle raison le prélèvement a été rejeté et comment représenter le prélèvement
3) Situation obtenue: le sociétaire a effectué un versement de 15 000 € sur le contrat 16083 en date du 17/12/2025. Ce dernier a été annulé pour coordonnées bancaires inexploitables, or le RIB est le bon et est bien renseigné en PE01 et en PO15.</t>
  </si>
  <si>
    <t>I26_004546</t>
  </si>
  <si>
    <t>CIRVIE - Brique fiscale et déclaration PASRAU
1) Référence(s) : OMV le 16/01/20262) Situation attendue : Pourquoi cette personne est toujours déclarée dans PASRAU ? Il faudrait ne plus l'envoyer.3) Situation obtenue : Dans la déclaration de la société 01, on déclare la personne avec le NIR 2380299034901. Cette personne était une rentière avec la référence 12409, mais elle n'a plus de rente en cours depuis 2023. J'ai mis un extrait de la déclaration PASRAU de début décembre, mais elle est toujours dans celle de début janvier.</t>
  </si>
  <si>
    <t>I26_004614</t>
  </si>
  <si>
    <t>CIRVIE - Anomalie UCB10
1) Référence(s) : OMV le 19/01/20262) Situation attendue : Correction de l'anomalie3) Situation obtenue : Anomalie dans le traitement UCB010
ANOMALIE    Nø  3 0250-erreur accŠs -START- UCTB15/UCX215          BMC 15 02/01/2026 000000000032411 01 D M         22926,67000</t>
  </si>
  <si>
    <t>I26_004616</t>
  </si>
  <si>
    <t>CIRVIE - Anomalie UCB022
1) Référence(s) : OMV le 19/01/20262) Situation attendue : Correction anomalies3) Situation obtenue : Anomalie traitrment UCB022 cf détail en pièce jointe</t>
  </si>
  <si>
    <t>I26_004720</t>
  </si>
  <si>
    <t>PREMIER ACCES SITE CENTRAL
L’utilisatrice souhaite accéder au Site Central.</t>
  </si>
  <si>
    <t>TANCHOT, Cindy</t>
  </si>
  <si>
    <t>I26_004753</t>
  </si>
  <si>
    <t>MBONDO, Muriel</t>
  </si>
  <si>
    <t>I26_004761</t>
  </si>
  <si>
    <t>CIRVIE - Premier accès</t>
  </si>
  <si>
    <t>DJILALI, Rafael</t>
  </si>
  <si>
    <t>I26_004774</t>
  </si>
  <si>
    <t>I26_004790</t>
  </si>
  <si>
    <t>Cirvie- Manque VL suite OST CPR=&gt;BFT
1) Référence(s) : suite OST CPR=&gt;BFT2) Situation attendue : Avoir les VL sur les nouvelles versions des supports créées suite à l'OST3) Situation obtenue : Manque les VL sur les nouvelles versions des supports du 14 et du 15 janvier</t>
  </si>
  <si>
    <t>I26_004809</t>
  </si>
  <si>
    <t>Courriers de règlements erronés
1) Référence(s) : 29299 – 003192746921000 - 925622) Situation attendue : vérifier les courriers de règlement des bénéficiaires de ces 3 contrats.3) Situation obtenue : les courriers de règlements des bénéficiaires Lino, Julien et Antoine LELUC sur les contrats 29299 – 003192746921000 - 92562 sont potentiellement erronés suite aux problème liés à la fiscalité 990 I sur différents contrats. Ceux de César et Victor MALAN sont visiblement correct mais cela est certainement dû au fait qu’ils n’étaient bénéficiaires que du contrat 29299.</t>
  </si>
  <si>
    <t>I26_004810</t>
  </si>
  <si>
    <t>CIRVIE - Arbitrage décès impossible
1) Référence(s) : sociétaire 022368Q - HEBRARD ROLAND // contrats 6865 et 104806 BATIépargne2) Situation attendue : ARBITRAGE DC 3) Situation obtenue : arbitrage impossible</t>
  </si>
  <si>
    <t>I26_004841</t>
  </si>
  <si>
    <t>I26_004891</t>
  </si>
  <si>
    <t>I26_004939</t>
  </si>
  <si>
    <t>CIRVIE - Sinistre décès Contrat 000000000136726
1) Référence(s) : OMV le 19/01/20262) Situation attendue : Faire le nécessaire afin que la gesiton puisse re-saisir le sinistre décès3) Situation obtenue : Dans le cadre de l'OST, j'ai du faire annuler le sinistre décès à la gestion 2025 00000034479 du contrat 000000000136726. La gestion ne peut pas resaisir le décès aujourd'hui car elle a le message B101-Absence d'arbitrage décès lors de l'ouverture en SV0205</t>
  </si>
  <si>
    <t>ARKOUB, Ursula</t>
  </si>
  <si>
    <t>I26_004958</t>
  </si>
  <si>
    <t>CIRVIE - frais rachat programmé suite fusion SAGEVIE
1) Référence(s) : Numéro de contrat : 0000000001450132) Situation attendue : Suite au transfert, suppression des frais forfaitaires de 2€ sur les rachats programmés effectués sur le produit BATI épargne.3) Situation obtenue : Prélèvement de 2€ au moment du dernier rachat (01/01/2026) – acceptable en tant que rachat SAGERETRAITE décalé, mais à vérifier le paramétrage pour les rachats programmés futurs, idem pour les autres contrats à rachat programmé transformé en Bati Epargne.</t>
  </si>
  <si>
    <t>LAMBERT, Salome</t>
  </si>
  <si>
    <t>I26_004959</t>
  </si>
  <si>
    <t>CIRVIE - PS rachat programmé suite fusion SAGEVIE
1) Référence(s) : Numéro de contrat : 0000000001450132) Situation attendue : Avant transfert sur un contrat Bati Epargne fiscalité PEP, le contrat était un SAGERETRAITE fiscalité PEP mono support, les prélèvements sociaux étaient prélevés au fil de l’eau trimestriellement. Au moment du rachat programmé de 1 500€ date d’effet 01/01/2026, il ne devrait donc pas y avoir de prélèvements sociaux (pas de produit à taxer entre 31/12/2025 et 01/01/2026).3) Situation obtenue : Le rachat programmé de 1 500€ sur le contrat Bati Epargne PEP a subi des prélèvements sociaux à hauteur de 118,13€.</t>
  </si>
  <si>
    <t>I26_004981</t>
  </si>
  <si>
    <t>Redirigé</t>
  </si>
  <si>
    <t>RECEPTION DES COURRIERS PAR VOIE POSTABLE AU LIEU DE MAIL
1) Référence(s) : Client: F14037F2) Situation attendue : Recevoir ses relevé par mails, courriers gestion par mail si possible.3) Situation obtenue : Le sociétaire en continue de recevoir des courriers (courrier de gestion, relevés…) à son domicile alors qu’il est inscrit sur les SEL.
C’est un problème car lors de son dernier VL sur son contrat PER IND l'assuré a déménagé et ils ont pas encore pris en compte le changement d’adresse.</t>
  </si>
  <si>
    <t>MATHIEU, Carene</t>
  </si>
  <si>
    <t>I26_005173</t>
  </si>
  <si>
    <t>ANOMALIE RACHAT1) Référence(s) : Assuré : 000000000006355 Patrice MALANDIN2) Situation attendue : Correction de l'anomalie.3) Situation obtenue : Mail :Ne sachant pas d’où vient le problème, je me permets d’écrire aux 2 adresses de messagerie.J’ai traité un rachat le 12/01/2026, validé le 13/01/2026 par ma hiérarchie et ce dernier se trouve toujours en statut de validation, les fonds n’ont donc toujours pas été envoyés au sociétaire qui les attends.Je vous joins les captures écran pour vous aider à identifier le rachat et voir d’où pourrait venir le problème : (voir Documents 1 et 2)Peut être dû à un des supports ? (voir Document 3)</t>
  </si>
  <si>
    <t>I26_005221</t>
  </si>
  <si>
    <t xml:space="preserve">ANOMALIE VIREMENT1) Référence(s) : ASSURE : 550989Q2) Situation attendue : Correction de l'anomalie.3) Situation obtenue : Mail reçu :Je fais suite au transfert de sortant du PER N° 120494 de MR DESORME vers AG2R.Les fonds ont été transférés en décembre et le courrier de transfert adressé à la nouvelle compagnie. Toutefois, AG2R revient vers nous aujourd’hui car les sommes renseignées dans notre courrier ne correspondent pas exactement au montant du virement. La différence semble correspondre aux produits du contrat, d’après le bordereau comptable.Quelle réponse pouvons-nous leur apporter ? </t>
  </si>
  <si>
    <t>I26_005222</t>
  </si>
  <si>
    <t>CY - Cirvie batch</t>
  </si>
  <si>
    <t xml:space="preserve">Le Job XZP1CY4250 est en etat JOBFAILURE sur x02582pa le 20/01/2026 a 12:00:18. RC=14
relancer une fois : consigne pilotage 
relance  OK,
Incident résolu 
 </t>
  </si>
  <si>
    <t>KOUKABA, Christian</t>
  </si>
  <si>
    <t>I26_005228</t>
  </si>
  <si>
    <t>CIRVIE - Sinistre IJ 2025 00000031394
1) Référence(s) : H. GADIO le 20/01/20262) Situation attendue : Il faut mettre la quote part à 0 pour le bénénficiaire 0000000000180093) Situation obtenue : Dans les caractéristiques du sinistre 2025 00000031394, la quote part des 2 bénéficiaires est à 100%.</t>
  </si>
  <si>
    <t>GADIO, Haby</t>
  </si>
  <si>
    <t>I26_005244</t>
  </si>
  <si>
    <t>ECRAN NOIR CIRVIE
Appel car elle a un écran noir sur Cirvie Prod</t>
  </si>
  <si>
    <t>KADOUCHE, Saida</t>
  </si>
  <si>
    <t>I26_005246</t>
  </si>
  <si>
    <t>GRIB, Myriem</t>
  </si>
  <si>
    <t>I26_005254</t>
  </si>
  <si>
    <t>I26_005273</t>
  </si>
  <si>
    <t>CIRVIE - Valeur de transfert à corriger sur Affiliation BR Cresp UR à régler en TU
1) Référence(s) :Voir document / Sociétaire n°: 594980C / Contrat n°: 33095 / Affilié n°: 91086 / Affiliation n°: 100003684 / Dossier n°: 4968732) Situation attendue : Entre le 01/01/2025 et le 31/01/2025, la valeur de transfert devrait avoir augmenté du montant de la cotisation valorisée le 31/01/2025.3) Situation obtenue : Entre le 01/01/2025 et le 31/01/2025, la valeur de transfert est inchangée alors que le nombre de points a bien augmenté du montant de la cotisation valorisée le 31/01/2025.</t>
  </si>
  <si>
    <t>I26_005281</t>
  </si>
  <si>
    <t>CIRVIE BLOCAGEBlocage PF5</t>
  </si>
  <si>
    <t>I26_005293</t>
  </si>
  <si>
    <t>Sécurité</t>
  </si>
  <si>
    <t>I26_005298</t>
  </si>
  <si>
    <t>CADET, Joand</t>
  </si>
  <si>
    <t>I26_005302</t>
  </si>
  <si>
    <t>Décès - Impossible de valider le SV0218
1) Référence(s) : sociétaire 538710E // sociétaire 23258 / ES 754282) Situation attendue : valider le 2025 00000028278 via SV0218 pour générer le bordereau et la lettre de règlement.3) Situation obtenue : 7090-Pb Ecriture Relation / Fichier Travail</t>
  </si>
  <si>
    <t>I26_005308</t>
  </si>
  <si>
    <t>I26_005312</t>
  </si>
  <si>
    <t>Résolu</t>
  </si>
  <si>
    <t>Décès - Anomalie sur taxation 990I sur deux contrats
1) Référence(s) :2) Situation attendue : Compte tenu de l’anomalie en cours sur le 990I sur des multicontrats, je vous remercie de bien vouloir vérifier.3) Situation obtenue : A la suite d’un règlement décès avec 990I le 19/12/2025, le conseiller revient vers moi pour une anomalie sur la taxation 990I sur les deux contrats. Ecart entre les informations communiquées dans cirvie et l’édition des bordereaux comptables.</t>
  </si>
  <si>
    <t>MIDELTON, Elodie</t>
  </si>
  <si>
    <t>I26_005346</t>
  </si>
  <si>
    <t>Décès - PO26 - Montant différent du capital
1) Référence(s) : sociétaire 406157C // contrat 85883 // ES 1312) Situation attendue : montant du capital décès UC50 identique à SV02013) Situation obtenue : le montant du capital SV0201 est différent du UC50</t>
  </si>
  <si>
    <t>I26_005355</t>
  </si>
  <si>
    <t xml:space="preserve">RCAN EI 2025 - SOLDE COMP C &lt; 0    
1) Référence(s) : police 0000000000092812) Situation attendue : Le RCAN 2025 doit être généré.3) Situation obtenue : SOLDE COMP C &lt; 0 (SUPPORT = B2P / -  1070,11864) sur la police 000000000009281
N°ANO|BASE  |CR|ST|NUMERO POLICE  |AVT|MD|MESSAGE COURT                      |MESSAGE LONG                00001|CATB03|00|02|000000000009281|991|99|SOLDE COMP C &lt; 0                   |    SUPPORT = B2P / -  1070,11864          </t>
  </si>
  <si>
    <t>LECANU, Sebastien</t>
  </si>
  <si>
    <t>I26_005357</t>
  </si>
  <si>
    <t xml:space="preserve">PREMIERE CONNEXION CIRVIE
l'utilisatrice viens d'arriver dans l'entreprise et souhaite accéder pour la première fois a cirvie </t>
  </si>
  <si>
    <t>DAUPRAT, Nathalie</t>
  </si>
  <si>
    <t>I26_005381</t>
  </si>
  <si>
    <t xml:space="preserve">INCIDENT VALSIN SUR LE CONTRAT 009720606921000- 972060D
1) Référence(s) : Numéros de sociétaires :  972060D / Numéro de contrat :009720606921000 / Numéro GED : 2026-005254-12) Situation attendue : Déblocage VALSIN3) Situation obtenue : L'utilisateur a reçu une demande de transformation FOURGOUS sur un contrat avec incident VALSIN. </t>
  </si>
  <si>
    <t>I26_005422</t>
  </si>
  <si>
    <t xml:space="preserve">Décès - Incident VALSIN
1) Référence(s) : contrat 70282) Situation attendue : vérifier et retirer le post it si c’est ok.3) Situation obtenue : incident valsin
 </t>
  </si>
  <si>
    <t>I26_005483</t>
  </si>
  <si>
    <t>CIRVIE - Anomalie UCB023
1) Référence(s) : OMV le 21/01/20262) Situation attendue : Correction des 26 ordres3) Situation obtenue : Anomalie dans le traitement UCB023 pour 26 ordres</t>
  </si>
  <si>
    <t>I26_005526</t>
  </si>
  <si>
    <t>BLOQUAGE PF5 CIRVIE
Appel car elle est bloquée en PF5 sur Cirvie vie</t>
  </si>
  <si>
    <t>COLLOT, Amandine</t>
  </si>
  <si>
    <t>I26_005554</t>
  </si>
  <si>
    <t>CIRVIE - VP à rembourser depuis novembre 2024
1) Référence(s) : GED : 2026-005485-1 / SC 341516U / Contrat : 0000000001066412) Situation attendue : Correction de l'anomalie.3) Situation obtenue : L'utilisatrice reçois ce jour une demande du payeur de cotisation et de l’assuré indiquant que l’assuré, Monsieur AGOSTINI ne fait plus partie de l’entreprise depuis novembre 2024.Apparemment l’entreprise STE SARL AGOSTINI, payeur des VP, lui a informé de ce changement mais cela n’a pas été pris en compte. Il est alors demandé remboursement total de tous les VP depuis novembre 2024 à ce jour. Soit 15 VP de 120 euros soit un montant de 1800 euros.</t>
  </si>
  <si>
    <t>I26_005565</t>
  </si>
  <si>
    <t>CIRVIE - SINISTRE EN ANOMALIE P
1) Référence(s) : Voir document / Numéro de sinistre : 2026 1777 / Assurée: BISTON Julie / N° soc: 571918M2) Situation attendue : Pourriez- vous lever ce blocage afin que nous puissions faire le nécessaire.3) Situation obtenue : L'utilisateur un sinistre en anomalie P.</t>
  </si>
  <si>
    <t>I26_005596</t>
  </si>
  <si>
    <t xml:space="preserve">CIRVIE - REJET PRELEVEMENT NON TRAITE1) Référence(s): Numéro paiement: 65803912) Situation attendue : que les rejets de prélèvements de HSBC apparaissent dans cirvie et annulent la quittance automatiquement.3) Situation obtenue : mail reçu: Cirvie n’a pas tenu compte du rejet de prélèvement en banque , j’ai annulé la quittance manuellement, il s’agit d’un incident. </t>
  </si>
  <si>
    <t>DURAND, Olivier</t>
  </si>
  <si>
    <t>I26_005639</t>
  </si>
  <si>
    <t>Corrigé</t>
  </si>
  <si>
    <t xml:space="preserve">CIRVIE - Impayés quittances contrats gestion déléguée
1) Référence(s) : OMV le 21/01/2026 - correction programme2) Situation attendue : Correction du programme afin de générer automatiquement des CRE d’annulation d’émission (relatifs à la répartition euro/uc des ordres initiaux) puis générer des nouveaux CRE d’émission conformes avec la répartition des nouveaux ordres 3) Situation obtenue : Les quittances concernées dans cet incident sont celles traitées dans l’incident « I25_085639 contrat gestion déléguée quittance payée , désaffectée et repayée. » 
Les CRE d’émission pour les quittances VP en gestion déléguée sont émis dans le batch UCJ063 car ils doivent tenir compte de la répartition euro/UC qui dépend de la répartition des supports de la gestion déléguée du 24 du mois
(voir fiche REDMINE 67368 à l’origine de ce fonctionnement ) 
Dans le cadre de la correction l’incident I25_085639 , les quittances dépayées et repayées ont été bien été prises en compte dans ce batch UCJ063 pour la regénération des ordres mais cela a engendré aussi une 2eme création des CRE d’émission. </t>
  </si>
  <si>
    <t>I26_005643</t>
  </si>
  <si>
    <t>CIRVIE - Déclaration DAS2
1) Référence(s) : OMV le 21/01/20262) Situation attendue : Analyse et correction afin d'avoir des données correctes3) Situation obtenue : Dans la déclaration DAS2, les nom et prénom des experts ne correspondent pas à ce qu'il y a dans CIRVIE.
Exemple ; pour Mr DREYFUS Laurent, on a DREYFUS LAURENTL et pour LAURENT PIERRE, à la fin du prénom il y a PIERREAUME</t>
  </si>
  <si>
    <t>I26_005694</t>
  </si>
  <si>
    <t>CIRVIE - Montant cotisations prévoyance par garantie
1) Référence(s) : Correction données suite I26_0014602) Situation attendue : Correction des quittances3) Situation obtenue : Il existe des cotisations dont les montants des cotisations par garantie ne correspondent pas entre la table GPTB12 et l’AS400 (exemple de la quittance 6902268, pour la garantie 5316, nous avons 57€ d’écart entre ce qui est visible dans l’AS400 et la table GPTB12)</t>
  </si>
  <si>
    <t>I26_005702</t>
  </si>
  <si>
    <t>BLOCAGE PF5L'utilisatrice est bloquée sur Cirvie (PF5 pour forcer).</t>
  </si>
  <si>
    <t>I26_005728</t>
  </si>
  <si>
    <t>CIRVIE - Contrat 000000000145219
1) Référence(s) : S. BEN HOUNET le 21/01/20262) Situation attendue : Pouvoir faire la modification des relations sur le contrat 000000000145219 3) Situation obtenue : Impossible de changer le sociétaire, l'assuré et le payeur sur le contrat 000000000145219 via PO15. A la fin de la transaction, j'ai le message Message inconnu en table "M001". cf pièce jointe</t>
  </si>
  <si>
    <t>BEN-HOUNET, Sabah</t>
  </si>
  <si>
    <t>I26_005752</t>
  </si>
  <si>
    <t>CREATION MOT DE PASSE CIRVIEL'utilisateur souhaite se connecter à CIRVIE pour la première fois.</t>
  </si>
  <si>
    <t>EL KHATTABI, Mohamed Mehdi</t>
  </si>
  <si>
    <t>I26_005763</t>
  </si>
  <si>
    <t>CIRVIE - Sinistre décès SV0201
1) Référence(s) : OMV le 21/01/20262) Situation attendue : Pouvoir consulter les informations des bénéficiaires dans SV0201 ou SV02373) Situation obtenue : Transaction SV0201 ou SV0237, impossible de consulter les bénéficiaires.
Exemple : Assuré 000000000075428 Sinistre décès 2025 00000028278. Les bénéficiaires sont bien enregistrés au niveau du sinistre mais il est impossible de les consulter dans SV0201 ou SV0237. Le message 3227-Absence de bénéficiaire apparait</t>
  </si>
  <si>
    <t>I26_005780</t>
  </si>
  <si>
    <t>CIRVIE - Mdp nok pour partie VIE</t>
  </si>
  <si>
    <t>I26_005792</t>
  </si>
  <si>
    <t>CIRVIE - Insertion cotation CPR
1) Référence(s) : OMV le 21/01/20262) Situation attendue : Intégration de la cotation du support CPR VALEUR = 15/01/2026 COTATION = 14/01/2026
numéro modification 02 : 108,38074
numéro modification 01 : 431,452
cf fichier en pièce jointe3) Situation obtenue : Absence de la cotation du support CPR du 14/01/2026</t>
  </si>
  <si>
    <t>I26_005803</t>
  </si>
  <si>
    <t>CIRVIE - MOT DE PASSE OUBLIE
1) Référence(s) : 06 87 15 90 452) Situation attendue : réinitialisation du mot de passe3) Situation obtenue : L'utilisatrice a oublié son mot de passe VIE.
mot de passe par défaut -&gt; NOK</t>
  </si>
  <si>
    <t>PINART, Celine</t>
  </si>
  <si>
    <t>I26_005861</t>
  </si>
  <si>
    <t>Le Job A1P1CV2411 est en etat JOBFAILURE sur SMASPRO1 le 22/01/2026 a 00:24:24. RC=20
Ouvrir un incident</t>
  </si>
  <si>
    <t>BRAUD, Thierry</t>
  </si>
  <si>
    <t>I26_005876</t>
  </si>
  <si>
    <t>CIRVIE - Anomalie UCB022
1) Référence(s) : OMV le 22/01/20262) Situation attendue : Correction de l'anomalie Valeur liquidative non trouvée3) Situation obtenue : Anomalie UCB022 pour 12 ordres.
La partie relative à l'anomalie Mouvement non trouv‚ dans le fichier CATB02 est corrigée dans le cadre de l'incident I26_004616
Contrat à traiter : 000000000145419</t>
  </si>
  <si>
    <t>I26_005958</t>
  </si>
  <si>
    <t>CIRVIE - Problème valorisation opérations
1) Référence(s) : OMV le 22/01/20262) Situation attendue : Correction du programme + périmètre3) Situation obtenue : L'arbitrage du contrat 000000000106696 en date du 15/01/2026 a été valorisé avec des VL de 2006 pour BEN, 2002 pour BEQ, 2010 pour BAI et 2019 pour BRP et BRR</t>
  </si>
  <si>
    <t>I26_005968</t>
  </si>
  <si>
    <t>CIRVIE - Utilisation deux sessions impossible</t>
  </si>
  <si>
    <t>RYGAS, Sebastien</t>
  </si>
  <si>
    <t>I26_006014</t>
  </si>
  <si>
    <t>IMPOSSIBLE DE SE CONNECTER A CIRVIE
L'utilisatrice nous informe qu'elle n'arrive pas à se connecter a CIRVIE car un écran noir apparait</t>
  </si>
  <si>
    <t>I26_006095</t>
  </si>
  <si>
    <t xml:space="preserve">TRANSFERT INTERNE PAR VERSEMENT - INSTANCE NON TROUVEE1) Référence(s) : Assuré : C41426M2) Situation attendue : Correction de l'anomalie.3) Situation obtenue : Mail reçu :Bonjour,Je dois finaliser un transfert de PER ENT SMA vers un PER IN.Voici l’instance que je devrai retrouver en PO1066 (transfert par versement) : (voir Document 1)Toutefois, lorsque je renseigne les informations, voici l’erreur automatique : (voir Document 2)Voici les informations utiles :    PER ENT Affiliation 000000100043908Affilié : 000000000222385    PER INContrat n° 145482 SC C41426MA noter, sur 3 transferts internes réalisés (par AFN) depuis le début de la semaine, toutes les instances sont ressorties avec le mauvais type (TS : transfert sortant au lieu de TR Instance Transfert) J’ai dû les modifier pour les retrouver en po0520. Peut-être que le problème vient de là également pour celle-ci ? </t>
  </si>
  <si>
    <t>I26_006122</t>
  </si>
  <si>
    <t>CIRVIE PROFIL DESACTIVE
Le profil utilisateur AXXXXX ne peut ouvrir de session.</t>
  </si>
  <si>
    <t>I26_006149</t>
  </si>
  <si>
    <t>CONTRATS A BASCULER1) Référence(s) : Assuré : L21665P2) Situation attendue : Correction de l'anomalie.3) Situation obtenue : Mail reçu :J’ai créé un numéro sociétaire L21665P le 06/01/2026 mais il n’est toujours pas redescendu sous CIRIVE cela pose problème car le sociétaire n’a pas accès à son espace en ligne.</t>
  </si>
  <si>
    <t>MESKINE OTMANI, Amel</t>
  </si>
  <si>
    <t>I26_006221</t>
  </si>
  <si>
    <t>Le Job XZP1CY4250 est en etat JOBFAILURE sur x02582pa le 22/01/2026 a 16:00:14. RC=14</t>
  </si>
  <si>
    <t>KEBE, Moussa</t>
  </si>
  <si>
    <t>ETD Domaine Transverse EAI</t>
  </si>
  <si>
    <t>I26_006295</t>
  </si>
  <si>
    <t>NON-RESIDENTS INCOHERENCE CIRVIE1) Référence(s) : Assurés : 968066H - 979767R2) Situation attendue : Correction de l'anomalie.3) Situation obtenue : Il nous a été demandé de traiter des incohérences CIRVIE sur la résidence fiscale.notre sociétaire (avec 2 n° d’assuré) aurait 2 pays de résidence fiscale.Cependant, les numéros, de sociétaire 968066H et d’assuré 000000000200269, reconnus par CIRVIE indiquent bien la résidence fiscale au Royaume-Uni ( ce qui est bien le cas) tandis que les numéros, de sociétaire 979767R et d’assuré 000000000210942, en doublon ( qui indiqueraient la résidence fiscale en France) ne sont pas reconnus par CIRVIE.Je ne peux donc pas procéder à cette correction.</t>
  </si>
  <si>
    <t>BOUTICHE BOUFENARA, Somia</t>
  </si>
  <si>
    <t>I26_006321</t>
  </si>
  <si>
    <t>Le Job A1P1CV2411 est en etat JOBFAILURE sur SMASPRO1 le 23/01/2026 a 00:10:06. RC=20
Ouvrir un incident</t>
  </si>
  <si>
    <t>I26_006381</t>
  </si>
  <si>
    <t xml:space="preserve">CIRVIE - MOT DE PASSE DE CONNEXION PERDUE
L'utilisateur nous informe qu'il n'arrive pas à se connecter avec son mot de passe et que ça lui demande une dernière tentative avant blocage.
 </t>
  </si>
  <si>
    <t>TAFIANI, Enzo</t>
  </si>
  <si>
    <t>I26_006428</t>
  </si>
  <si>
    <t>CIRVIE - Cloture sinistre décès 2025 00000034660 
1) Référence(s) : U. ARKOUB le 23/01/20262) Situation attendue : Cloture correcte du sinistre décès afin de pouvoir annuler les arbitrages décès par la suite.3) Situation obtenue : Le contrat 000000000141880 fait parti des contrats sur lesquels il y a eu un problème de valorisation d'arbitrage décès, j'ai demandé à la gestionnaire de cloturer le sinistre décès puis d'annuler les arbitrages décès. La gestionnaire a procédé à la cloture du sinistre mais celuic-i est toujours visible dans AG05 et le sinistre décès ne semble pas cloturé correctement. J'ai indiqué à la gestionnaire de ne plus toucher au contrat. La cloture a été saisi ce jour dans CIRVIE.</t>
  </si>
  <si>
    <t>I26_006444</t>
  </si>
  <si>
    <t>CIRVIE - Correction programme EDB980
1) Référence(s) : DSI le 23/01/20262) Situation attendue : Dans le fichier, il convient d'avoir autant de fois le support BFT que de support définitif en attente3) Situation obtenue : Dans le fichier à destination des SEL EDB980, il fait référence au support CPR en dur. Pour les contrats en période de renonciation avec plusieurs UC, le support BFT est cumulé dans un champ</t>
  </si>
  <si>
    <t>I26_006466</t>
  </si>
  <si>
    <t>I26_006536</t>
  </si>
  <si>
    <t>CIRVIE - IMPOSSIBLE DE RATTACHER UN SINISTRE
1) Référence(s) :Numéro de sociétaire : 503064G / Numéro de contrat : 000000000082169 / Numéro ES : 63963 / SINISTRE : 2025 00000034501 / Voir document2) Situation attendue : Correction de l'anomalie.3) Situation obtenue : Impossible de rattacher un bénéficiaire en SV0210. 7090-Pb Ecriture Relation / Fichier Travail</t>
  </si>
  <si>
    <t>I26_006552</t>
  </si>
  <si>
    <t>I26_006560</t>
  </si>
  <si>
    <t>MOT DE PASSE CIRVIE VIE KO
1) Référence : 
2) Situation attendue : Réinitialiser le MDP Cirvie vie
3) Situation obtenue : Appel car il n'arrive pas a se connecter a Cirvie vie avec le MDP habituel. On essaye plusieurs MDP mais ça ne passe pas.</t>
  </si>
  <si>
    <t>MINET, Lilian</t>
  </si>
  <si>
    <t>EXP Support GST</t>
  </si>
  <si>
    <t>I26_006580</t>
  </si>
  <si>
    <t>I26_006600</t>
  </si>
  <si>
    <t>CIRVIE - Anomalie Intérêts érronés sur RCAN SAGEVIE
1) Référence(s) : OMV le 23/01/20262) Situation attendue : Correction du programme de RCAN qui retranche les versements une seconde fois suite à la fermeture du support B1S dans CATB01 (effet de la ratio).
3) Situation obtenue : Anomalie sur les intérêts de 4 relevés SAGEVIE
003078516911000 -&gt; intérêts 2024 : 1005.98€ pour intérêts 2025 : 302.41€
003280866911000 -&gt; intérêts 2024 : 1680.79€ pour intérêts 2025 : 275.85€
003455526911000 -&gt; intérêts 2024 : 1586.22€ pour intérêts 2025 : 1148,88€
003571856926000 -&gt; intérêts 2024 : 1239.79€ pour intérêts 2025 : 0€</t>
  </si>
  <si>
    <t>I26_006612</t>
  </si>
  <si>
    <t>ANOMALIE ATTESTATION1) Référence(s) : Assuré : 264921C2) Situation attendue : Correction de l'anomalie.3) Situation obtenue : Mail reçu :Dans le cadre d’une instruction de décès datant du 24/11/2025 avec 990I (antérieur à l’anomalie actuelle), les courriers de demande de pièces n’ont pas inclus l’attestation qui a pourtant été sélectionnée pour édition.La consultation de la fiscalité en PO26 fait apparaitre le montant de l’assiette, or en SV0201 il est à 0.</t>
  </si>
  <si>
    <t>I26_006614</t>
  </si>
  <si>
    <t>I26_006632</t>
  </si>
  <si>
    <t>I26_006663</t>
  </si>
  <si>
    <t>CIRVIE - Contrat 000000000145467
1) Référence(s) : DSI le 23/01/20262) Situation attendue : Le contrat étant en période de renonciation, il devrait être investi sur BFT et le support € ET ensuite l'arbitrage relais doit investir sur les UC définitives.3) Situation obtenue : Lors de la consultation de la PM du contrat 000000000145467, le support € est bien valorisé mais les UC sont en attente de valorisation au 26/01/2026</t>
  </si>
  <si>
    <t>I26_006665</t>
  </si>
  <si>
    <t>CIRVIE - VALSIN ANOMALIE SINISTRE
1) Référence(s) : Sinistre : 2026 0000001837 / Sociétaire : 327288V / Contrat : 74905
2) Situation attendue : Pouvoir valider et clôturer son sinistre.
3) Situation obtenue : L'utilisatrice nous contacte car elle une erreur "ANO P" sur son contrat sur CIRVIE et ne peut donc pas valider et clôturer son sinistre.</t>
  </si>
  <si>
    <t>I26_006678</t>
  </si>
  <si>
    <t>CIRVIE – B029-Incident sur le contrat n° 000000000055829 (VALSIN OMV)1) Référence(s) : Numéro de contrat : 0000000000558292) Situation attendue : Ne pas avoir de message Incident VALSIN OMV.3) Situation obtenue : L’incident « B029 – Incident sur ce contrat (VALSIN OMV) » se produit sur le contrat n° 000000000055829</t>
  </si>
  <si>
    <t>I26_006696</t>
  </si>
  <si>
    <t>CIRVIE - DECES / EPARGNE INDIVIDUELLE/ ALERT 757B1) Référence(s): Numéro de contrat : 004257646980000 // 000000000003182 HUAR Ginette2) Situation attendue : retirer le post3) Situation obtenue : Merci de bien vouloir vérifier et retirer le post it si c’est ok.</t>
  </si>
  <si>
    <t>I26_006707</t>
  </si>
  <si>
    <t>Rachat total - Incident Valsin
1) Référence(s) : sociétaire 270403S // Contrat 88572 // Date d'effet du rachat partiel 21/01/20252) Situation attendue : Saisie d'un rachat total sous Cirvie3) Situation obtenue : Le message "INCIDENT VALSIN" apparaît au moment de la saisie du de l’opération.</t>
  </si>
  <si>
    <t>I26_006808</t>
  </si>
  <si>
    <t xml:space="preserve">CIRVIE - Courrier TRIA 000000000136933
1) Référence(s) : OMV le 26/01/20262) Situation attendue : Identification du courrier, analyse et rejeu du courrier3) Situation obtenue : Anomalie courrier
 60.835   Rejet   9.211.945   000000000136933   TRIA    GDB026C-26/01/2026-06:30:16-MOPE du catalogue UC_DET   blanc. 0    20260126 </t>
  </si>
  <si>
    <t>I26_006821</t>
  </si>
  <si>
    <t>CIRVIE ECRAN NOIR
Le Site Central s’ouvre avec un écran noir en mode Déconnecté.</t>
  </si>
  <si>
    <t>BOONSUK, Oulhay</t>
  </si>
  <si>
    <t>I26_006825</t>
  </si>
  <si>
    <t>PLUS DE MOT DE PASSE CIRVIE 
l'utilisatrice reviens de congés  et ne connais plus ses mot de passe Cirvie</t>
  </si>
  <si>
    <t>EBELE MBOULE, Marthe Annie</t>
  </si>
  <si>
    <t>I26_006850</t>
  </si>
  <si>
    <t>Décès - Erreur Alert 757B
1) Référence(s) : succession JEAN RINGUET // sociétaire 327922G // contrat 003279226980000 // ES 26752) Situation attendue : 3) Situation obtenue : B029-Incident sur ce contrat (Alert 757B)</t>
  </si>
  <si>
    <t>I26_006868</t>
  </si>
  <si>
    <t>Courtage - Annulation de fichiers (erreur commissions)
1) Référence(s) : Mail de Shadia Nazroo2) Situation attendue : Annulation des quittances créés avec le fichier joint3) Situation obtenue : Mauvaise saisie des commissions.
Fichier : 7002039 Virements cotisations courtier.3097788,5 18-11-2025
Référence comptable : 07002039202511140001
Montant : 3097788,5</t>
  </si>
  <si>
    <t>I26_006920</t>
  </si>
  <si>
    <t>Annulé</t>
  </si>
  <si>
    <t>Annulation quittance impossible
1) Référence(s) : H49296U CARRELAGES DANIEL PINAULT SARL contrat 107613 2) Situation attendue : Annuler en GP15 la quittance en co délai n°7053858 d’un montant de 353.25 € généré à tort. 3) Situation obtenue : Annulation impossible message bloquant dans CIRVIE -&gt; Q654 Annul. Impossible - Sinistre</t>
  </si>
  <si>
    <t>I26_006936</t>
  </si>
  <si>
    <t>Rachat partiel - Sinistre en anomalie
1) Référence(s) : sociétaire 45915Y // contrat 112316 // sinistre 2026-1931 // montant rachat 2 300 € // date effet rachat 21/01/20262) Situation attendue : valider le rachat afin de clôturer la demande 3) Situation obtenue : Message d'incident sur ce contrat : sinistre en anomalie ‘ M ’</t>
  </si>
  <si>
    <t>I26_006941</t>
  </si>
  <si>
    <t>PRO BTP souscripteur inconnu 
1) Référence(s) : sociétaire G58174T // contrat 000000000145427 // SCHULER ERIC // PROBTP // ES 000000000370388 S2) Situation attendue : Pourriez- vous nous informer si nous pourrons procéder au prélèvement après la période de renonciation , c’est-à-dire en début février ou une autre solution s’offre à nous.3) Situation obtenue : Nous avons reçu saisie une AFN PROBTP le 16 janvier en date de signature 08/01/2026 et date début avenant 14/01/2026. Suite à une erreur sur le montant de prélèvement initial, nous devons prélever 400 euros de plus pour régulariser le dossier.</t>
  </si>
  <si>
    <t>I26_006976</t>
  </si>
  <si>
    <t xml:space="preserve">BLOCAGE MENU CIRVIE 
l'utilisateur nous informe qu'il n'arrive pas à sortir d'un menu cirvie </t>
  </si>
  <si>
    <t>I26_007009</t>
  </si>
  <si>
    <t>CIRVIE - Affaire nouvelle gestion déléguée
1) Référence(s) : OMV le 26/01/2026 - Correction PGM I26_0066632) Situation attendue : Correction programme afin que le délai de renonciation soit correctement géré3) Situation obtenue : Les affaires nouvelles en gestion déléguée saisies rétroactivement engendrent un arbitrage relais et un arbitrage gestion déléguée. L'arbitrage relais n'est pas un vrai arbitrage relais.
Exemple : 000000000145422, 000000000145467, 000000000145481 et 000000000145514</t>
  </si>
  <si>
    <t>I26_007051</t>
  </si>
  <si>
    <t>I26_007103</t>
  </si>
  <si>
    <t>I26_007105</t>
  </si>
  <si>
    <t>TEODORO RODRIGUES, Lucie</t>
  </si>
  <si>
    <t>I26_007259</t>
  </si>
  <si>
    <t>CIRVIE - Contrat 000000000100124
1) Référence(s) : OMV le 27/01/20262) Situation attendue : Valorisation de l'arbitrage décès 3) Situation obtenue : Arbitrage décès saisi le 26/01/2026 en date du 15/01/2026. L'ordre sur le support BFT n'est pas valorisé, il est en attente avec une date au 21/01/2026 dans UC50. La cotation du 21/01/2026 est bien présente sur le support BFT. De plus, il n'y a aucune information dans la compte rendu de valorisation de cette nuit.</t>
  </si>
  <si>
    <t>I26_007363</t>
  </si>
  <si>
    <t>OUVERTURE SITE CENTRAL
L'utilisatrice n'arrive pas a ouvrir site central, profil introuvable.</t>
  </si>
  <si>
    <t>BARDIN, Isabelle</t>
  </si>
  <si>
    <t>I26_007509</t>
  </si>
  <si>
    <t>CIRVIE - Mise à jour table SV01
1) Référence(s) : OMV le 27/01/20262) Situation attendue : Mise à jour de la table SV01 3 postes à modifier et 44 à supprimer cf fichier en pièce jointe3) Situation obtenue : Paramétrage SV01 à revoir</t>
  </si>
  <si>
    <t>I26_007520</t>
  </si>
  <si>
    <t xml:space="preserve">Courtage - Annulation de fichiers (Fichier inséré en double)
1) Référence(s) : Mail de Marine Robin2) Situation attendue : Annulation des quittances créés avec le fichier joint3) Situation obtenue : Mauvaise saisie des commissions.
Fichier : 12064619 Virements cotisations courtier.292443,61 14-01-2026
Référence comptable : 12064619202509020001
Montant : 292443,61 </t>
  </si>
  <si>
    <t>I26_007533</t>
  </si>
  <si>
    <t xml:space="preserve">CIRVIE - ANOMALIE RACHAT1) Référence(s) : Assuré : 408065M2) Situation attendue : Correction de l'anomalie.3) Situation obtenue : Mail reçu : Bonjour, Lors des rachats totaux des deux contrats de capi 105457 105458Une erreur s’est produite.Comme vous pouvez le constater nous avions sur les deux contrats du fonds euros mais également du BAI.Or suite à une demande de notre BD concernant les montants virés à l’assuré, je constate sur les bordereaux en PJ que la ligne BAI est à 0.Pouvez-vous vérifier ?Je vous remercie. </t>
  </si>
  <si>
    <t>I26_007543</t>
  </si>
  <si>
    <t>ANOMALIE CHANGEMENT SITUATION1) Référence(s) : Assuré : 512327C Michel FROMENT2) Situation attendue : Correction de l'anomalie.3) Situation obtenue : Mail reçu :Le sociétaire nous indique sont changement de numéro de téléphone portable .La mise à jour a été fate dans coheris mais n’est pas remontée dans cirvie . merci de faire le nécessaire.</t>
  </si>
  <si>
    <t>LOUVION, Laure</t>
  </si>
  <si>
    <t>I26_007554</t>
  </si>
  <si>
    <t>DOUBLON FICHIER DE COTISATION INTEGRATION DELEGATAIRE COGEVIE- MONTANT 292 433.61 EUROS1) Référence(s) : 2) Situation attendue : Correction de l'anomalie.3) Situation obtenue : Mail reçu :Bonjour, Dans le prolongement du sujet ci-dessous, pouvez-vous svp annuler le fichier en doublon dont la référence banque est la suivante : Intégration : 292 443.61 € _ réf : 12064619202509020001 du 14/01/2026Je vous ajoute en pièce jointe le fichier traité à annuler.Bien cordialement.</t>
  </si>
  <si>
    <t>I26_007558</t>
  </si>
  <si>
    <t>CONTRAT SANTE A RESILIER DANS CIRVIE - GEORGES GONTIER ET FILS SARL1) Référence(s) :2) Situation attendue : Résiliation des contrats.3) Situation obtenue : Mail reçu :Je dois résilier les contrats 190601100002301 et 190601100002302 avec une date au 15/03/2025.Mais : - Pour le contrat 190601100002301, une quittance a été réglée jusqu’au 30/04/2025 + un avenant est passé en date du 01/07/2025 (augmentation des taux de cotisation santé)- Pour le contrat 190601100002302, un avenant est passé en date du 01/07/2025 (augmentation des taux de cotisation santé)Est-il possible de résilier tout de même ces contrats en date du 15/03/2025 ?</t>
  </si>
  <si>
    <t>SCHALLER, Lina</t>
  </si>
  <si>
    <t>I26_007571</t>
  </si>
  <si>
    <t>CIRVIE - OUVERTURE DE CONTRAT RESILIE PAR ERREUR
1) Référence(s) : LA FLANDRE ASSURANCES    190601100003643    IRCEM GESTION // LA FLANDRE ASSURANCES    190601100003969    IRCEM2) Situation attendue : Ouverture des 2 contrat ci-dessus.3) Situation obtenue : L'utilisatrice doit rouvrir 2 contrats qui ont été résiliés par erreur.</t>
  </si>
  <si>
    <t>I26_007635</t>
  </si>
  <si>
    <t xml:space="preserve">CIRVIE - TAUX PAS COMMUNIQUE
1) Référence(s) : Type du sinistre : rachat total / Numéro de sociétaire: 529861X ( assuré 72663 ) Mr ERIC PREVOST né le 03/10/1959 / NIR : 1591075112046 33 / N° de contrat: 100305  / Montant du rachat : 109 406,47 € / Date d'effet: 19/01/20262) Situation attendue : Rachat supérieur à 50 000 € une demande de taux PAS a été faite le 20/01/2026
3) Situation obtenue : A ce jour l'utilisatrice n’a toujours pas le taux pour pouvoir passer l’opération. </t>
  </si>
  <si>
    <t>BENCHANA, Sabah</t>
  </si>
  <si>
    <t>I26_007648</t>
  </si>
  <si>
    <t xml:space="preserve">CIRVIE COURTAGE - INTEGRATION FICHIER PRIMES
1) Référence : incident MOAC I046052) Situation attendue : Intégration d’un seul fichier de prime.
3) Situation constatée :Il semblerait que le virement reçu de COGEVIE du 13 mars 2025 ait été intégré à deux reprises sous des références courtier différentes1 Virement reçu : 60 300.09 €
Intégration : 60 300.09 € _ réf : 09050797202503130002 du 22/09/2025 --&gt; HELLIUMIntégration : 60 300.09 € _ réf : 07000585202503130003 du27/10/2025 --&gt; DIOT pour HELIUM--&gt; Confusion entre les 2 courtiers ?
 </t>
  </si>
  <si>
    <t>SCHILLING, Quentin</t>
  </si>
  <si>
    <t>I26_007673</t>
  </si>
  <si>
    <t xml:space="preserve">RCAN EI 2025 - SOLDE COMP A+B+C &lt; 0 
1) Référence(s) : voir documents
2) Situation attendue : Le RCAN 2025 doit être généré.
3) Situation obtenue : SOLDE COMP A+B+C &lt; 0 (produit : 0116982) sur la police 5238 -&gt; SUPPORT = BMC / -    11,53296   </t>
  </si>
  <si>
    <t>I26_007677</t>
  </si>
  <si>
    <t xml:space="preserve">RCAN EI 2025 - SOLDE COMP A+B+C &lt; 0
1) Référence(s) : voir documents
2) Situation attendue : Le RCAN 2025 doit être généré.
3) Situation obtenue : SOLDE COMP A+B+C &lt; 0 (produit : 0116982) sur la police 22888 -&gt; SUPPORT = BAI / - 0,34665
 </t>
  </si>
  <si>
    <t>I26_007679</t>
  </si>
  <si>
    <t xml:space="preserve">CIRVIE - ERREUR SAISIE
1) Référence(s) : voir documents / Secteur SER I / Sociétaire G57386P / Ctt 145378
2) Situation attendue : Procéder à la modification des primes versées DEDUCTIBLES en forçant la capsule.
3) Situation obtenue : Saisie d’une affaire nouvelle portant la référence 145378 via la réception d’un TRANSFERT DES FONDS d’un montant de 48 686,78 € réceptionné en date du 23/12/2025. Le cumul de versements DEDUCTIBLES enregistré sur CIRVIE est de 44 058,22 € au lieu de 43 458,93 €.
 </t>
  </si>
  <si>
    <t>I26_007683</t>
  </si>
  <si>
    <t xml:space="preserve">CIRVIE - INTEGRATION FICHIER PRIMES DU 02/09/25 INTEGRE A DEUX REPRISES
1) Référence(s) : voir document / Incident MOAC I04604
2) Situation attendue : Intégration d’un seul fichier de prime.
3) Situation obtenue : Il semblerait que le virement reçu de COGEVIE du 02 septembre 2025 ait été intégré à deux reprises. Virement reçu : 292 443.61 €
Intégration : 292 443.61 € _ réf : 12064619202509020001 du 14/01/2026Intégration : 292 443.61 € _ réf : 12064619202509020003 du 22/01/2026
Fichier : 12064619 Virements cotisations courtier.292443,61 14-01-2026
J’ai annulé l’incident I26_007554 (créé par Marine) sur le même sujet.
J’ai annulé l’incident I26_007520 (Créé par moi-même) sur le même sujet.
 </t>
  </si>
  <si>
    <t>I26_007740</t>
  </si>
  <si>
    <t xml:space="preserve">ERREUR CERTIFICAT ADHESION1) Référence(s) : Assuré : J70683G2) Situation attendue : Correction de l'anomalie.3) Situation obtenue : Mail reçu :Bonjour,Le courrier accompagnant le certificat d’adhésion édité pour les contrats BATIPLACEMENT est erroné car ce contrat ne comporte pas de désignation de bénéficiaire :Le second paragraphe est donc à retirer du courrier.Merci, </t>
  </si>
  <si>
    <t>DONEAU, Penelope</t>
  </si>
  <si>
    <t>I26_007741</t>
  </si>
  <si>
    <t xml:space="preserve">RESILIATION CONTRAT 
1) Référence : 190501100001207 - 190601100002098
2) Situation attendue : L'utilisatrice souhaite savoir si il est possible de résilier tout de même ces contrats en date du 15/07/2025 ?
3) Situation obtenue: l'utilisatrice nous informe devoir résilié deux contrats avec une date au 15/07/2025 mais pour ces 2 contrats, une quittance a été réglée jusqu'au 30/09/025
 </t>
  </si>
  <si>
    <t>I26_007815</t>
  </si>
  <si>
    <t>Contrat SANTE à résilier dans CIRVIE
1) Référence(s) : Voir document / OUHOLDING (Santé cadre) / MEDSOFT SAS2) Situation attendue : Pouvoir résilier le contrat en date du 31/12/2025.3) Situation obtenue : L'utilisatrice doit résilier le contrat 190601100004099 avec une date au 31/12/2025. Mais pour ce contrat, un avenant est passé en date du 01/01/2026</t>
  </si>
  <si>
    <t>I26_007870</t>
  </si>
  <si>
    <t>Erreur sur souscription contrat à annuler
1) Référence(s) : GED : 2026-006432-1 / SC L25111Y / Contrat : 0000000001455192) Situation attendue : Comment elle doit procéder ? Elle saisie sans effet en PO2013 ? Est qu'elle doit attendre la valo au 29/01 ?3) Situation obtenue : L'utilisatrice a souscrit un BATIEPARGNE pour cette sociétaire mais il fallait souscrire un PERIN.Elle souhaite alors mettre sans effet ce BATIEPARGNE pour souscrire ensuite le PERIN. Mais 2500 euros ont déjà été crédité sur le support euros et 2500 euros sont en attente de valorisation au 29/01.</t>
  </si>
  <si>
    <t>I26_007916</t>
  </si>
  <si>
    <t>ANOMALIE DONNEES CONTRAT1) Référence(s) : Assuré : C02370K Contrat 0000000000604072) Situation attendue : Correction des données.3) Situation obtenue : Mail reçu :ExplicationsLes données historiques du contrat sont à revoir. Les données actuelles faussent le calcul des prélèvements sociaux. En l’absence d’information sur celles-ci au sein du dossier « papier », le contrat a fait l’objet d’un transfert avant d’être de nouveau transféré à la SMAvie, la solution la plus pertinente est calculer l’assiette existante depuis le transfert.A revoir : mfisc14, mfisc8 et mfisc16 sont à forcer à 0.</t>
  </si>
  <si>
    <t>I26_007919</t>
  </si>
  <si>
    <t>INCIDENT VALSIN1) Références : - Secteur : SER I- Outil : CIRVIE- Type du sinistre : RACHAT PARTIEL d’un montant de 15 000,00 € - N° SOCIETAIRE : 417034W Ctt : 90686- Date d'effet du RACHAT PARTIEL 27/01/20252) Situation attendue : Saisie d'un RACHAT PARTIEL sous CIRVIE3) Situation obtenue : Le message "INCIDENT VALSIN apparaît au moment de la saisie du de l’opération.</t>
  </si>
  <si>
    <t>I26_007921</t>
  </si>
  <si>
    <t>INCIDENT VALSIN1) Références : - Secteur : SER I- Outil : CIRVIE- Type du sinistre : RACHAT PARTIEL d’un montant de 7 000,00 € - N° SOCIETAIRE : 509397R Ctt : 90213- Date d'effet du RACHAT PARTIEL 27/01/20252) Situation attendue : Saisie d'un RACHAT PARTIEL sous CIRVIE3) Situation obtenue : Le message "INCIDENT VALSIN apparaît au moment de la saisie du de l’opération.</t>
  </si>
  <si>
    <t>I26_007926</t>
  </si>
  <si>
    <t>ANOMALIE VISUALISATION CONTRATS1) Référence(s) : Assuré : 651961H Delphine BONDEWEL2) Situation attendue : Regroupement des contrats.3) Situation obtenue : Mail reçu :Mme BONDEWEL à deux numéros assurés.Elle ne visualise que son affiliation sur PER ENTREPRISE sur SEL et souhaite également visualiser son PER IND + BATI EPARGNE. Toutefois cette assurée à le même numéro de sociétaire en SA pour son affiliation et en SC pour les contrats individuels.Pouvez-vous faire un forçage informatique afin que nous puissions réunir EPARGNE IND et l’affiliation sous le même numéro d’assurée 185886? S’il vous plait.</t>
  </si>
  <si>
    <t>I26_007930</t>
  </si>
  <si>
    <t xml:space="preserve">INCIDENT RCAN1) Référence(s) : Assuré : 2) Situation attendue : Le RCAN 2025 doit être généré.3) Situation obtenue : SOLDE CALCULÉ FIN DE PÉRIODE NUL (produit : 0188001) sur la police 105457 et 105458 </t>
  </si>
  <si>
    <t>I26_007972</t>
  </si>
  <si>
    <t>I26_008012</t>
  </si>
  <si>
    <t>CIRVIE - CONTRAT ROUVRIR1) Référence(s): - Contrat n°190501100001069 / SOCIETE SODALIS FRANCE INDUSTRIAL- Contrat n°190501100001070 / SOCIETE NOVAMEX- Contrat n°190501100001071 / SOCIETE NOVAMEX2) Situation attendue : Merci de bien vouloir rouvrir ces 3 contrats svp. 3) Situation obtenue : Je dois rouvrir ces contrats qui ont été résiliés par erreur svp.</t>
  </si>
  <si>
    <t>I26_008018</t>
  </si>
  <si>
    <t>CIRVIE - CONTRAT A RESILIER1) Référence(s): 2) Situation attendue : Est-il possible de résilier tout de même ces contrats aux dates demandées ?3) Situation obtenue : Je dois résilier les contrats ci dessous, Mais pour ces contrats, un avenant est passé en date du 01/07/2025 (taux de cotisations).
SERVYR 190601100002984 JOYEAU FOURNITURES 31/12/2023 ==&gt; QT jusqu'au 31/03/2024SERVYR 190601100002983 JOYEAU VIS D’ARCHIMEDE 31/12/2023 ==&gt; QT jusqu'au 31/03/2024SERVYR 190601100003037 SOCIETE EUROPEENE D'ABRASIFS 31/12/2024 ==&gt; Pas de QT donc 31/12/2024</t>
  </si>
  <si>
    <t>I26_008028</t>
  </si>
  <si>
    <t>CIRIVIE - IMPOSSIBLE DE NAVIGUER DANS VIE
1) Référence : Voir Documents
2) Situation attendue : Naviguer dans VIE
3) Situation obtenue : Quand l'utilisatrice va dans Cirvie Prod et va dans VIE, elle n'a plus les rubriques qui apparaît et a marqué en bas "E9003
Aucune conversation existante ou autorisée."
On tente une réinitialisation PF5 -&gt; NOK
On la retente en déconnectant son compte et en se reconnectant =&gt; NOK</t>
  </si>
  <si>
    <t>ALFRED, Laura</t>
  </si>
  <si>
    <t>I26_008057</t>
  </si>
  <si>
    <t xml:space="preserve">CIRVIE - DEMANDE D'INFORMATION REGLEMENTAIRE1) Référence(s) : N° sociétaire : H01678C / N° Contrat : 143188 / N° assuré : 2844992) Situation attendue :3) Situation obtenue : Mail du sociétaire : 
Nous vous prions dans ce cas de bien vouloir nous préciser
- Le cumul des versements volontaires nets déductibles  effectués par l'adhérent Compartiment C1 :
- Le cumul des versements volontaires nets non déductibles effectués par l'adhérent Compartiment C3:
Nous vous rappelons que en application de l'article L224-40 du code monétaire et financier, vous devez nous communiquer le montant des droits en cours de constitution et le montant des sommes versées, en distinguant les versements mentionnés aux 1°, 2° et 3° de l'article L224-40.
Nous restons disponibles par formulaire de contact sécurisé https://www.garance.com/contact/contact-email/ ou par téléphone au 01 70 37 73 59 du lundi au vendredi de 8h00 à 18h00.
Mail et demande nous concernant :
Je me permets de venir vers vous dans le cadre de ce transfert sortant que nous avons effectué fin novembre 2025, nous avons envoyé ce courrier mais la compagnie affirme que c’est insuffisant.Voici ci-dessous leur nouvelle relance, quelles informations puis je leurs transmettre ?Je vous remercie par avance.
 </t>
  </si>
  <si>
    <t>I26_008238</t>
  </si>
  <si>
    <t>INCIDENT VALSIN
1) Référence(s) : Voir document / Numéro de sociétaire : 389683M / Numéro de contrat : 904612) Situation attendue : Régler le contrat à réception des pièces des bénéficiaires.3) Situation obtenue : Post it « valsin omv » en PO25. Merci de bien vouloir l’enlever.</t>
  </si>
  <si>
    <t>I26_008280</t>
  </si>
  <si>
    <t>I26_008340</t>
  </si>
  <si>
    <t>PF5 CIRVIE 
Appel car elle a un PF5 sur Cirvie Vie</t>
  </si>
  <si>
    <t>I26_008346</t>
  </si>
  <si>
    <t>CIRVIE - Rejet bande de prélèvement
1) Référence(s) : V. AUDREN le 28/01/20262) Situation attendue : Bande de prélèvement modifiée manuellement et mise dans le répertoire S:\Transfert\S021\rejeu_CIRVIE\prl
Merci de la mettre à disposition de la comptabilité.
Il faut ajouter la RUM VIE41223-20260125 sur le paiement de la quittance 7079487 (numéro de paiement 000000006695020)3) Situation obtenue : Bande de prélèvement PRELEVEMENTS_AUTO_CIRVIE_HP_20260127043147.XML rejetée pour absence de mandat sur le contrat 000000000041223</t>
  </si>
  <si>
    <t>AUDREN, Virginie</t>
  </si>
  <si>
    <t>I26_008378</t>
  </si>
  <si>
    <t>INSTANCE NON RAPPROCHEE A L'ADHESION EN MOBILITE1) Référence(s) : Assuré : L21601Q2) Situation attendue : Correction de l'anomalie.3) Situation obtenue : Mail reçu :Je vous contacte car je ne parviens à valider une affaire nouvelle en mobilité en PO507, sous la référence 145317, sociétaire L21601Q.Aucune instance n’apparaît et ceux malgré plusieurs tentatives en changeant les dates et en modifiant l’instance avec la comptabilité.L’instance 26 739461 ne peut être rapprochée.</t>
  </si>
  <si>
    <t>I26_008381</t>
  </si>
  <si>
    <t>CIRVIE - Arbitrage décès impossible à passer1) Référence(s) :Numéro de sociétaire : 022368Q - HEBRARD ROLANDN° de contrat: 6865 Type contrat : BATIépargne2) Situation attendue : ARBITRAGE DC en date du 14/01/20263) Situation obtenue : msg bloquant "2160-Police non trouvée au fichier" sur l'écran POE032</t>
  </si>
  <si>
    <t>I26_008440</t>
  </si>
  <si>
    <t>PROFIL DESACTIVE
La connexion au Site Central ne fonctionne pas car le profil utilisateur est désactivé.</t>
  </si>
  <si>
    <t>ROSSIGNON, Delphine</t>
  </si>
  <si>
    <t>I26_008444</t>
  </si>
  <si>
    <t>CIRVIE - erreur de gestion règlement décès contrat
1) Référence(s) : Client: 422969T / Voir document2) Situation attendue : Correction de l'anomalie.3) Situation obtenue : L'utilisatrice a procédé à l’ouverture du sinistre en sv0205 puis à sa validation en sv0215. Et elle a toujours pas de bordereau comptable. En vérifiant les validations pour règlement en sv0223, il est indiqué « ANO R »</t>
  </si>
  <si>
    <t>I26_008455</t>
  </si>
  <si>
    <t xml:space="preserve">CIRVIE - SINISTRE EN ANOMALIE 'P'
1) Référence(s) : Type du sinistre : rachat partiel / N° SOCIETAIRE : 571918M / N° de contrat: 29439 / Sinistre : 2026-1777 / Montant du rachat : 7 500 € / Date d'effet du rachat : 15/01/2026 / Voir document
2) Situation attendue : Pouvoir valider le rachat afin de clôturer la demande. 3) Situation obtenue : Message d'incident sur ce contrat : sinistre en anomalie ‘ P ’  ( pacte adjoint sur le contrat ) </t>
  </si>
  <si>
    <t>I26_008458</t>
  </si>
  <si>
    <t>CIRVIE - SINISTRE EN ANOMALIE 'P'
1) Référence(s) : Type du sinistre : rachat partiel / N° SOCIETAIRE : 384013T / N° de contrat: 80575 / Sinistre : 2026-2010 / Montant du rachat : 10 000 € / Date d'effet du rachat : 23/01/2026 / Voir document
2) Situation attendue : Pouvoir valider le rachat afin de clôturer la demande.3) Situation obtenue : Message d'incident sur ce contrat : sinistre en anomalie ‘ P ’ ( pacte adjoint sur le contrat )</t>
  </si>
  <si>
    <t>I26_008489</t>
  </si>
  <si>
    <t>REOUVERTURE D'UN CONTRAT
1) Référence(s) : Contrat : 190501100002178 2) Situation attendue : Réouverture du contrat.3) Situation obtenue : L'utilisatrice veut remettre en cours le contrat 190501100002178 sur Cirvie afin d’enregistrer un sinistre prévoyance.</t>
  </si>
  <si>
    <t>I26_008544</t>
  </si>
  <si>
    <t>PROBLEME DOUBLON PE1) Référence(s) : Assuré : L14239B2) Situation attendue : Pouvez-vous supprimer le souscripteur L14239B pour que je le recréé en le liant à l’assuré 370128 ?Autrement je me retrouve avec un assuré qui ne peux être souscipteur alors qu’il est en réalité les 2.3) Situation obtenue : Mail reçu :Lorsque je veux saisir le contrat, je m’aperçois que l’assuré est déjà existant avec N° ES 370128 créé en janvier 2026, mais le souscripteur L14239B a été créé en novembre, je ne peux pas l’annuler pour le rattacher à l’assuré 370128</t>
  </si>
  <si>
    <t>I26_008577</t>
  </si>
  <si>
    <t>CIRVIE - Contrat 000000000130631
1) Référence(s) : OMV le 30/01/20262) Situation attendue : Analyse et ne pas avoir d'anomalie et un sinistre correct3) Situation obtenue : Anomalie UCB010 
 ANOMALIE Nø 2 3026-Pb lors de l'appel compte courant : BRR 16 20/01/2026 000000000130631 02 D P 100,00000
un transfert sortant a été saisi sur le contrat 000000000130631. Montant d'envrion 800€ et celui-ci semble CLOS REGLE.</t>
  </si>
  <si>
    <t>I26_008591</t>
  </si>
  <si>
    <t>ACCES CIRVIEL'utilisatrice ne parvient pas à accéder à CIRVIE VIE.</t>
  </si>
  <si>
    <t>DENOYER, Claire</t>
  </si>
  <si>
    <t>I26_008638</t>
  </si>
  <si>
    <t>I26_008673</t>
  </si>
  <si>
    <t>CIRVIE - Bande de virement
1) Référence(s) : A. ROUGE le 30/01/20262) Situation attendue : La bande de virement a été modifiée manuellement et mise dnas le répertoire : S:\Transfert\S021\rejeu_CIRVIE\vir
Merci de la mettre à disposition de la comptabilité
De plus, il convient de modifier le paiement des 2 instances afin de mettre la personne CL 000000000229511 et le RIB type 13 qui a été enregistré ce jour dans CIRVIE3) Situation obtenue : Les 2 instances 26 739456 et 26 739457 ont été remboursées à la mauvaise personne et sur le mauvais RIB. La bande de virement de ce matin contient donc 2 virements erronés. VIRE02_999_20260130033355.XML</t>
  </si>
  <si>
    <t>I26_008822</t>
  </si>
  <si>
    <t>CIRVIE - Relevé à la demande
1) Référence(s) : OMV le 30/01/20262) Situation attendue : Avoir les montants affichés 3) Situation obtenue : Sur le relevé à la demande, lorsque le montant est supérieur à 10 000 000€, les montants sont tronqués dans la colonne Epargne constituée en Euros et Valeur de rachat
Exemple contrat 143036</t>
  </si>
  <si>
    <t>I26_008827</t>
  </si>
  <si>
    <t>CIRVIE - Annulation des primes1) Référence(s) : voir document2) Situation attendue : Normalement,  nous ne devons avoir aucune instance courtage en cours.Une quittance est annulée , car-    Double intégration : il faut fournir à la DCFG la liste des instances créées lors de l’annulation des quittances ainsi que  la référence comptable du doublon.  -    Erreur de commission, de taxe … : il faut fournir à la DCFG la liste des instances créées lors de l’annulation des quittances ainsi que la référence comptable des quittances réintégrées.  
Rattrapage :Pour chaque instance, il nous faut le motif d’annulation, et la référence comptable des quittances réintégréesLe rattrapage comptable sera manuel.
3) Situation obtenue : Les instances courtages en cours au 29/01/2026.Pour toutes ces instances, la DFG n’a pas reçu de demande de sortir les instances et les donner permettant de régulariser le compte de Banque.</t>
  </si>
  <si>
    <t>I26_008829</t>
  </si>
  <si>
    <t>DECES - Succession NABONNAND HERVE - SC 538701A - Contrat 132710
1) Référence(s) : Numéro de sociétaire : 538701A - NABONNAND HERVE - N° de contrat: 132710 - Type contrat : BATIépargne2) Situation attendue : ARBITRAGE DC saisi au 21/01/20263) Situation obtenue : msg bloquant - 2586-Saisir au moins une UC, à désinvestir</t>
  </si>
  <si>
    <t>I26_008850</t>
  </si>
  <si>
    <t>CIRVIE - IMPOSSIBLE DE SE CONNECTER
L'utilisatrice appelle car elle est connecté sur CIRVIE</t>
  </si>
  <si>
    <t>I26_008874</t>
  </si>
  <si>
    <t xml:space="preserve">CIRVIE - ANO M - Sinistre 2026 00000002022
1) Référence : Tâche : 2026-006441-1 - Client : 508954N - Sinistre : 2026 00000002022
2) Situation attendue : Expliqué a l'utilisatrice pour quel raison le sinistre est en anomalie
3) Situation obtenue: l'utilisatrice nous informe avoir un rejet de sinistre sur la tâche en référence
 </t>
  </si>
  <si>
    <t>I26_009088</t>
  </si>
  <si>
    <t>CIRVIE - Flux sinistre IJ - Ecart BANCO de 180€1) Référence(s) :2) Situation attendue : Cohérence entre la bande de virement et flux comptable 3) Situation obtenue : Ecart BANCO : 180 € Bande de virement 59281 Sinistre IJ 2025-23650 : CRE non reçu</t>
  </si>
  <si>
    <t>I26_009091</t>
  </si>
  <si>
    <t>ERREUR CERTIFICAT D'ADHESION1) Référence(s) : L19158P MOULINIER GEST. DELEGUEE EQUILIBREE CONTRAT N°144975 voir document2) Situation attendue : avoir les bonnes valeurs3) Situation obtenue : une erreur est constatée sur le certificat d’adhésion:Dans la répartition du versement, il est indiqué en face de chaque valeur qui compose le mandat de gestion la somme de de 150 000 euros, qui est la somme totale investie à l'ouverture du contrat, et non la quote-part de chaque valeur.</t>
  </si>
  <si>
    <t>I26_009100</t>
  </si>
  <si>
    <t>CIRVIE PERTE DE MOT DE PASSE</t>
  </si>
  <si>
    <t>LUSSON, Antoine</t>
  </si>
  <si>
    <t>I26_009167</t>
  </si>
  <si>
    <t>ANOMALIE SUR LE MONTANT DU CAPITAL 
1) Référence(s) : Voir document / Numéro de sociétaire : 063279R / Numéro de contrat : 000000000100124 / Numéro ES : 58693 / NUMERO DE SINISTRE : 2025 000000351392) Situation attendue : Correction du montant du capital décès.3) Situation obtenue : Anomalie sur le montant du capital + anomalie sur le courrier demande de piece.</t>
  </si>
  <si>
    <t>I26_009212</t>
  </si>
  <si>
    <t xml:space="preserve">CIRVIE - PROBLEME POST IT
1) Référence(s) : voir documents / Sociétaire : 355485W / Contrats : 3125 et 89348
2) Situation attendue : Régler les contrats à réception des pièces des bénéficiaires.
3) Situation obtenue : L'utilisatrice nous contacte car elle aimerait que l'on retire le post-it "valsin omv" en PO25.
 </t>
  </si>
  <si>
    <t>I26_009253</t>
  </si>
  <si>
    <t>CIRVIE - Contrat en gestion déléguée
1) Référence(s) : Correction PGM du I26_0090912) Situation attendue : Analyse DSI : il s'agit d'un problème lié à l'existence d'un avenant dans le délai de renonciation pour un contrat en gestion, déléguée3) Situation obtenue : Le certificat d'adhésion indique le même montant sur toutes les unités de compte.
Exemple : contrat 000000000144975</t>
  </si>
  <si>
    <t>I26_009262</t>
  </si>
  <si>
    <t>CIRVIE - BLOCAGE DECES1) Référence(s): Numéros de contrats : 004128236980000 // Assuré: 412823V André ROUL2) Situation attendue : débloquer le dossier3) Situation obtenue : J’ai ce blocage lorsque je veux retourner dans l’instruction de mon dossier. En Gestion Décès SV0201, CIRVIE m’indique qu’il n’y a pas de bénéficiaires enregistrés. Les bénéficiaires ont bien été enregistrés lors de l’ouverture du dossier. Pouvez-vous m’indiquer la procédure à suivre pour avoir à nouveau accès à l’instruction et à la liste des bénéficiaires afin de pouvoir à nouveau leur envoyer des courriers ?</t>
  </si>
  <si>
    <t>I26_009280</t>
  </si>
  <si>
    <t>BRISSON, Nadia</t>
  </si>
  <si>
    <t>I26_009301</t>
  </si>
  <si>
    <t>BLOCAGE PF5 CIRVIEL'utilisatrice appel car elle a un blocage PF5.</t>
  </si>
  <si>
    <t>I26_009352</t>
  </si>
  <si>
    <t>Le Job XZP1SC3052 est en etat JOBFAILURE sur x24812pa le 03/02/2026 a 06:30:42. RC=3</t>
  </si>
  <si>
    <t>DEBARRE, Sonny</t>
  </si>
  <si>
    <t>I26_009452</t>
  </si>
  <si>
    <t>CIRVIE - TUP non effective1) Référence(s) : HELIUM/KEREIS -190501100001706 prev cadre POLICE SOC J34435N2) Situation attendue : prise en compte de la TUP dans CIRVIE3) Situation obtenue : Mail de Mme ROBIN : Il y a eu une TUP concernant le client IRIDIS INVESTISSMENT France vers MYRON3.
Je retrouve dans DEV VIE des avenants en ce sens.( ci-joint les pièces contractuelles)
Néanmoins, les contrats d’IRIDIS INVESTISSMENT France Soc J34435N sont toujours ouverts dans Cirvie.
De plus, l’avenant est au 01.01.2025 et le kbis précise le 19/02/2025.
MYRON possède son propre SIRET et dans Cirvie ses propres contrats : soc J56416E depuis le 01.03.2024
Il me semble que Cirvie ne peut pas écraser un soc avec un siret diffèrent dans le cadre d’une TUP ?Que devons-nous faire ? 
Pouvez-vous nous faire un retour afin de fiabiliser les donner avec le délégataire svp ? HISTORIQUE :La police 190501100001706 a été résiliée suite à une demande de résiliation de l’entité TAYLOR SERVICE France qui faisait partie du groupe IRIDIS INVESTISSMENT .L’entité TAYLOR SERVICE France possède à ce jour sa propre police de prévoyance. ( 190501100002209 vu avec le commerce)Néanmoins, le changement de CIRVIE n’a pas été fait lors de la saisie de l’avenant au 01.01.2025.</t>
  </si>
  <si>
    <t>I26_009458</t>
  </si>
  <si>
    <t>CIRVIE - Session bloquée</t>
  </si>
  <si>
    <t>BALAKRISHNAN, Prassana</t>
  </si>
  <si>
    <t>I26_009548</t>
  </si>
  <si>
    <t>I26_009663</t>
  </si>
  <si>
    <t>I26_009707</t>
  </si>
  <si>
    <t>CIRVIE - ANNULATION QUITTANCE1)    Référence sociétaire :  H49296U CARRELAGES DANIEL PINAULT SARL contrat 107613 2)    Situation attendue : Annuler en GP15 la quittance en co délai n°7053858 d’un montant de 353.25 € généré à tort. 3)    Situation obtenue : Annulation impossible message bloquant dans CIRVIE</t>
  </si>
  <si>
    <t>I26_009735</t>
  </si>
  <si>
    <t>CIRVIE - Sinistre en anomalie P 1) Référence(s): Le sinistre N° 2026 2762 // PIERRE Nathalie Sociétaire n : 361885F // Contrat n : 877742) Situation attendue : pouvoir valider et régler le sinistre.3) Situation obtenue : le sinistre ne peut être valider</t>
  </si>
  <si>
    <t>BOUTSINGKHAM, Amphone</t>
  </si>
  <si>
    <t>I26_009758</t>
  </si>
  <si>
    <t>Le Job XZP1SC3050 est en etat JOBFAILURE sur x24812pa le 04/02/2026 a 06:13:50. RC=3</t>
  </si>
  <si>
    <t>I26_009790</t>
  </si>
  <si>
    <t xml:space="preserve">CIRVIE- blocage lors de l'opération suite à la saisie
1) Référence(s) : Contrat 000000000001412
2) Situation attendue : Pouvoir réaliser son opération sans erreur.
3) Situation obtenue : L'utilisatrice nous contacte car elle doit réaliser une opération d'arbitrage automatique sur la police indiquée mais elle a un blocage lors de l'opération suite à la saisie de celui-ci (voir message d'erreur dans documents).
 </t>
  </si>
  <si>
    <t>GLIGSBERG, Anne</t>
  </si>
  <si>
    <t>I26_009827</t>
  </si>
  <si>
    <t>Cohéris - Sociétaire non remonté1) Référence(s) :  Madame PERRINE Victoire - N° K64580S voir document2) Situation attendue : remontée du sociétaire sous Cohéris3) Situation obtenue : Mme MATHIEU a reçu une demande du réseau auxiliaire concernant l'enregistrement d'une AFN et elle constate que le sociétaire ne remonte pas sous cohéris, elle ne peut donc pas créer le numéro sous CIRVIE et envoyer les éléments en GED</t>
  </si>
  <si>
    <t>I26_009878</t>
  </si>
  <si>
    <t>Anomalies Données CIRVIE au 31/12/2025 : Soldes négatifs1) Référence(s) : Table CATB03 voir document2) Situation attendue : soldes corrects3) Situation obtenue : Il existe des contrats ayant des provisions mathématiques négatives au 31/12/2025</t>
  </si>
  <si>
    <t>I26_009884</t>
  </si>
  <si>
    <t>Anomalies Données CIRVIE au 31/12/2025 : Anomalie Date naissance1) Référence(s) : Table PETB01, POTB01 voir document2) Situation attendue : dates de naissance correctes3) Situation obtenue : Il existe des contrats dont la date de naissance ne correspond pas dans les tables POTB01 et PETB01</t>
  </si>
  <si>
    <t>I26_009954</t>
  </si>
  <si>
    <t>CIRVIE - Incident de production sur les RCAN EI PERin SMA - 01169921) Référence(s) : voir document2) Situation attendue : Le RCAN 2025 doit être généré.3) Situation obtenue : SOLDE COMP A+B+C &lt; 0 (produit : 0116992) sur la police 105839 -&gt; SUPPORT = BAI / -    13,03720</t>
  </si>
  <si>
    <t>I26_009984</t>
  </si>
  <si>
    <t>CIRVIE - ERREUR PF5Contact car il y a une erreur PF5 sur Cirvie VIE</t>
  </si>
  <si>
    <t>CIRKOVIC, Lydia</t>
  </si>
  <si>
    <t>I26_009993</t>
  </si>
  <si>
    <t>Anomalies Données CIRVIE au 31/12/2025 : SOLDES_CNT_RESIL1) Référence(s): Tables POTB01, CATB032) Situation attendue : corriger les anomalies3) Situation obtenue : Il existe des contrats résiliés ayant une Provision mathématique + Provision mathématique estimée positive au 31/12/2025</t>
  </si>
  <si>
    <t>I26_010002</t>
  </si>
  <si>
    <t>Anomalies Données CIRVIE au 31/12/2025 : Solde affiliés annulés1) Référence(s): Tables POTB32, CATB032) Situation attendue : corriger les anomalies3) Situation obtenue : Il existe des affiliés annulés ayant une Provision mathématique + Provision mathématique estimée positive au 31/12/2025</t>
  </si>
  <si>
    <t>I26_010003</t>
  </si>
  <si>
    <t>Anomalies Données CIRVIE au 31/12/2025 : Age non conforme - contrats individuels + collectifs1) Référence(s): Table PETB01, POTB32, POTB012) Situation attendue : corriger les anomalies3) Situation obtenue : Il existe des contrats ayant des sociétaires ou des affiliés ayant des âges non conformes</t>
  </si>
  <si>
    <t>I26_010006</t>
  </si>
  <si>
    <t>Cirvie. Ficovie. Déclarations annuelles rejetées
1) Références : 775684772-2026-01-23-0001
2) Situation attendue : Déclarations correctes
3) 12 déclarations ont été envoyées avec INDRECOND à "0" à tort, alors qu'il s'agit de contrats avec FiscCnt = 00 (Lot 1).
Il s'agit des déclarations suivantes :
31379, 31435, 31544, 31545, 31654, 32878, 34067, 34597, 34652, 34694, 34887, 34894
Pour correction programme.
Les déclarations rejetées ont été corrigées et renvoyées dans un fichier manuel.</t>
  </si>
  <si>
    <t>I26_010030</t>
  </si>
  <si>
    <t>CIRVIE - Mise a jour domiciliation bancaire - mise à jour nom marital - règlement des 2 dernières échéances.1) Référence(s) : C44259Q Contrat 0050970000004142) Situation attendue : résoudre la situation3) Situation obtenue : Situation remontée par l'Auxiliaire à Mme ROUGE : • Il y a plus de 3 ans lors de la renégociation de notre prêt nous vous avions demandé de prélever les échéances sur le LCL en date de la 1ère échéance de ce prêt soit 1 ou 2 mois plus tard. Sauf que la SMA n’a pas respecté ce délai, et a prélevé immédiatement, nous mettant en défaut auprès du Crédit Agricole et du LCL.• Nous avions donc demandé l’annulation des prélèvements pour que ceux-ci se fassent sur le CA pour les dernières échéances, puis sur le LCL pour les suivantes, sauf que cela n’a jamais été fait, les prélèvements continuant sur le CA. Nous avons fini par renoncer a faire le changement.• Fin 2025 nous avons décidé de fermer notre compte au CA. Nous avons donc fait les démarches nécessaires pour les prélèvements se fassent sur notre compte LCL. Sauf que cette fois-ci ils sont rejetés pour le motif suivant « Aucun mandat valide »• Après un nombre incalculable d’appel, mail dans vos services, à notre banque nous avons eu l’explication suivante :- La SMA a déjà eu un mandat SEPA pour notre compte LCL, sauf que restant inactif pendant 3 ans celui-ci a été bloqué.- Par mesure de sécurité la Banque ne peut le réactiver.- Il faut donc que la SMA recréait en TOTALITE le prélèvement SEPA avec le RIB, en écrasant le précédent pour recréer un « nouveau n° d’ordre ».</t>
  </si>
  <si>
    <t>I26_010038</t>
  </si>
  <si>
    <t xml:space="preserve">CIRVIE - Blocage validation mobilité1) Référence(s) : Numéro de contrat : 000000000145400Numéro GED : 2026-002416-1
Numéro sociétaire : L23201RVoir document2) Situation attendue : Pourriez- vous lever ce blocage afin que nous puissions faire le nécessaire.3) Situation obtenue : Nous avons reçu une mobilité mais lors de la validation sous po0505 nous avons le message :     2464-Le reste doit être à zéro   </t>
  </si>
  <si>
    <t>I26_010133</t>
  </si>
  <si>
    <t>CIRVIE - Incident VALSIN1) Référence(s) : Numéro de sociétaire : 503693CNuméro de contrat : 15380Numéro ES : 64238Voir document2) Situation attendue : suppression du message valsin3) Situation obtenue : Message B029-Incident sur ce contrat (VALSIN OMV)</t>
  </si>
  <si>
    <t>I26_010134</t>
  </si>
  <si>
    <t>CIRVIE - Deuxième session non fonctionnelle</t>
  </si>
  <si>
    <t>I26_010139</t>
  </si>
  <si>
    <t>CIRVIE - Sinistre en anomalie P1) Référence(s) : 2026-006704-1 sc 301236D voir document2) Situation attendue : déblocage du sinistre3) Situation obtenue : Le sinistre en référence ressort en anomalie, cela bloque l'envoi des fonds</t>
  </si>
  <si>
    <t>I26_010153</t>
  </si>
  <si>
    <t>Réouverture contrat résilié pour règlement capital décès1) Référence(s) : 2025-067351-1 voir document2) Situation attendue : ouvrir le contrat pour procéder au réglement3) Situation obtenue : Le contrat 190501100001566 est résilié le 31/12/2025 et empêche de créer un sinistre pour règlement.
A123- La police doit être "en cours"</t>
  </si>
  <si>
    <t>I26_010175</t>
  </si>
  <si>
    <t>Le Job XZP1SC3050 est en etat JOBFAILURE sur x24812pa le 05/02/2026 a 06:21:34. RC=3</t>
  </si>
  <si>
    <t>I26_010198</t>
  </si>
  <si>
    <t>I26_010231</t>
  </si>
  <si>
    <t>I26_010291</t>
  </si>
  <si>
    <t>CIRVIE - Anomalie frais gestion RCAN
1) Référence(s) : OMV le 05/02/20262) Situation attendue : ANalyse DSI : problème sur la gestion des annulations de frais de gestion d'un exercice précédent
Ainsi sur la première police, on retranche deux fois les 175,13 de frais de gestion d’annulation en 2025 sur l’exercice 2024. Ce qui devrait donner 1826,56 – 175,13 soit 1651,48.
3) Situation obtenue : Anomalie sur le calcul des frais de gestion pour les 2 contrats suivants dans le RCAN :
Police N°90138 -&gt; je calcule 1826.56€ d’intérêts alors qu’on affiche 1476.30€ sur le relevé
Police N°90140 -&gt; je calcule 1217.72€ d’intérêts alors qu’on affiche 984.22€ sur le relevé 
Ces 2 polices ont subi des annulations de frais de gestion.</t>
  </si>
  <si>
    <t>I26_010297</t>
  </si>
  <si>
    <t>CIRVIE - Anomalie RCAN 000000000084617
1) Référence(s) : OMV le 05/02/20262) Situation attendue : Analyse DSI : 
Pour le calcul d’intérêts, le problème vient de la date de saisie d’AGTB01 pour la quittance 000000006636333. Il faut demander un D&amp;N pour la correction données. 
En passant la Date de saisie à 20250131 (comme la DOPMVT de CATB02) on a les bons intérêts.
3) Situation obtenue : Nous avons rencontré un souci sur le RCAN EI de la police 84617 : Nous ne comprenons pas l’épargne de début à 157 151.75€ ni celle de l’épargne constituée de 249 747.11. Et surtout, cette police ne peut pas avoir 23 988,82€ d’intérêts en 2025 alors qu’on avait seulement 1395€ d’intérêts l’année dernière.</t>
  </si>
  <si>
    <t>I26_010314</t>
  </si>
  <si>
    <t>DECES - message bloquant SV0210
1) Référence(s) : Voir document / Numéro de sociétaire : 434629U / Numéro des contrats : 7472) Situation attendue : Régler les capitaux à réception des pièces des bénéficiaires.3) Situation obtenue : Message bloquant en SV0210. Elle a affecté les mêmes bénéficiaires sur le contrat n° 123748 (sinistre n° 2025 00000034485) sans difficultés.</t>
  </si>
  <si>
    <t>I26_010348</t>
  </si>
  <si>
    <t>CIRVIE - Calcul garantie fidélité
1) Référence(s) : OMV le 05/02/20262) Situation attendue : Correction du programme afin que le calcul de la garantie de fidélité soit correcte.3) Situation obtenue : Lors de l'annulation et la recréation de quittance rétroactive, il s'avère que la garantie de fidélité est mal calculée pour ces quittances.
Exemple : contrat 000000000143036 dont les données ont été corrigées dans le cadre de l'incident I25_100938</t>
  </si>
  <si>
    <t>I26_010354</t>
  </si>
  <si>
    <t>CIRVIE - Calcul garantie fidélité
1) Référence(s) : OMV le 05/02/20262) Situation attendue : Le calcul de la garantie de fidélité doit être effectuée avec la dernière VL du fonds en euros connue à date.
Exemple : lors de la mensuelle de janvier 2026, la garantie de fidélité a été calculée avec la VL du 06/02/2026 alors qu'elle aurait du être calculée avec celle du 30/01/20263) Situation obtenue : Le calcul de la garantie de fidélité est effectuée lors de la mensuelle avec la VL du fonds en euros qui suit</t>
  </si>
  <si>
    <t>I26_010391</t>
  </si>
  <si>
    <t>I26_010409</t>
  </si>
  <si>
    <t>I26_010460</t>
  </si>
  <si>
    <t>MESSANA, Audrey</t>
  </si>
  <si>
    <t>I26_010462</t>
  </si>
  <si>
    <t>CIRVIE. Anomalie calcul taxe 990I. Contrat 009656546910000. DC 2025000000320621) Référence(s) : Lié au I26_0004592) Situation attendue : Correction des montants pour les 3 bénéficiaires.3) Situation obtenue : L'incident I26_000459 est utilisé pour la correction programme.Merci de bien vouloir corriger les données comme suit :Bénéf 369135 et 369136 :Taxes 990I = 0,00NET A PAYER = 159 103,65Solde = 159 103,65Ass. 990I TX 20% = 0,00Mt abattement utilise = 97 861,93
Bénef : 369137Taxes 990I = 0,00NET A PAYER = 159 104,13Solde = 159 104,13Ass. 990I TX 20% = 0,00Mt abattement utilise = 97 862,22</t>
  </si>
  <si>
    <t>I26_010487</t>
  </si>
  <si>
    <t>PROBLEME DE CONNEXION CIRVIE
1) Référence(s) : +331457190592) Situation attendue : Pouvoir se connecter a sa session B3) Situation obtenue : L'utilisatrice n'arrive pas a se connecter a sa session B qui permet de consulter sur cirvie tandis qu'elle rentre le mot de passe par défaut mais il ne fonctionne pas.</t>
  </si>
  <si>
    <t>I26_010585</t>
  </si>
  <si>
    <t>CIRVIE - Réouverture de la police pour règlement décès
1) Référence(s) : Dossier: 2025-054876-1 / Police 190501100000890 / SC H12008T LE VOYAGE A NANTES2) Situation attendue : Ouverture du contrat pour régler a capital décès.3) Situation obtenue : L'utilisateur a dans la GED 2025-054876-1 un dossier décès qu'il dois régler. Le contrat est résilié le 31/12/2023.</t>
  </si>
  <si>
    <t>I26_010591</t>
  </si>
  <si>
    <t>CIRVIE - données simulation de rachat incomplètes
1) Référence(s) : Voir document / Numéro de contrat : 0000000000012902) Situation attendue : Montant de l’épargne acquise environ égal à 299 616,72€.3) Situation obtenue : Montant de l’épargne acquise égale à 0€. Vous trouverez en pièce jointe l’extraction faite depuis CIRVIE DEV (fichier SIMURACHAT) ainsi que l’outil de calcul de simulation de rachat indiquant que l’épargne acquise à la date de simulation est de 0€ (feuille « Saisie », cellule D32). D’après la demande gdd du conseiller, les données ne semblent pas accessibles dans Panorama Client non plus.</t>
  </si>
  <si>
    <t>I26_010594</t>
  </si>
  <si>
    <t>CIRVIE - Fichier CRE manquant pour solder le compte d'un bénéficiaire
1) Référence(s) : Voir document / Date de déclaration : 13/06/2024 Date de survenance : 05/02/2026
2) Situation attendue : Compte soldé.3) Situation obtenue : Sinistre DC 2023-23850 CRE du 13/06/2024 : il manque le CRE 4890€ relatif à l’acompte pour solder le compte du bénéficiaire Noel Pascal.</t>
  </si>
  <si>
    <t>I26_010685</t>
  </si>
  <si>
    <t>INCIDENT VALSIN1) Référence(s) :GED : 2026-009605-1SC 308133DContrat : 0000000000846102) Situation attendue : Pouvez-vous lever l’incident VALSIN afin que je puisse mettre en place la gestion déléguée demandée par le sociétaire ?3) Situation obtenue : Incident VALSIN.</t>
  </si>
  <si>
    <t>I26_010691</t>
  </si>
  <si>
    <t>BLOCAGE INCIDENT VALSIN1) Référence(s) :2026-009633-1SC : 250464NContrat : 0000000000885492) Situation attendue : Correction de l'anomalie.3) Situation obtenue : Mail reçu :Je me permets de venir vers vous car je suis bloqué pour cause incident VALSIN, pour une demande de mise en place d’une gestion déléguée pour Mme LALE DIT GERARD.Je vous remercie par avance pour le déblocage.</t>
  </si>
  <si>
    <t>I26_010823</t>
  </si>
  <si>
    <t>I26_010837</t>
  </si>
  <si>
    <t>CIRVIE - Contrat 000000000142941
1) Référence(s) : Suite de l'incident I25_0811042) Situation attendue :  La quitttance 6811686 est impactée. Ainsi, j'ai procédé au recalcul du contrat et il convient de mettre à jour CATB13 pour la quittance 6811686 comme indiqué dans la pièce jointe.3) Situation obtenue : Dans le cadre de l'incident cité ci-dessus, nous avons ajouté un mouvement correctif afin de régulariser les intérêts du contrat, à la demande de la DT. Il s'avère que ce mouvement aurait du impacter la garantie de fidélité, ce qui n'a pas été effectué.</t>
  </si>
  <si>
    <t>I26_010843</t>
  </si>
  <si>
    <t>CIRVIE - anomalie EDB940
1) Référence(s) : OMV le 06/02/20262) Situation attendue : Référence dossier 888924
000000100002828 doit avoir
Situation : 0003 ANNULEE
Motif sit. : 0036 DECES
à l'image de l'affiliation 0000001000045343) Situation obtenue : Anomalie EDB940
|01|POTB32|DATA |99|000000100002828| |CSTA OU MTF KO |</t>
  </si>
  <si>
    <t>I26_010864</t>
  </si>
  <si>
    <t>I26_010919</t>
  </si>
  <si>
    <t>Cirvie bloqué
L'utilisateur nous informe que cirvie est bloqué.</t>
  </si>
  <si>
    <t>BALCAEN, Julien</t>
  </si>
  <si>
    <t>I26_010951</t>
  </si>
  <si>
    <t xml:space="preserve">IMPOSSIBLE D'ACCEDER A LA PARTI VIE
1) Référence : 
2) Situation attendue : Pouvoir se connecter à l'application vie 
3) Situation obtenue: l'utilisatrice nous informe qu'elle n'arrive pas à se connecter a l'application vie dans cirvie car elle ne connais pas le mot de passe 
 </t>
  </si>
  <si>
    <t>COUSIN, Jennifer</t>
  </si>
  <si>
    <t>EXP Support SVP</t>
  </si>
  <si>
    <t>I26_010972</t>
  </si>
  <si>
    <t>CIRVIE - Anomalie 990I - Dossier MOREAU - Contrat 004071126980000
1) Référence(s) : lié au I26_0004592) Situation attendue : Merci de bien vouloir corriger les données suivantes :
 Taxes 990I : 17145,83 è On doit avoir 0€ 
 NET A PAYER : 131935,82 è On doit avoir 149081,65€ 
 Solde : 130892,82 è On doit avoir 148038,65€
 Ass. 990I TX 20% : 85729,18 è On doit avoir 0€ 
Il va y avoir une génération d'instance à destination du contrat 0000000000519043) Situation obtenue : Sur le décès 2025 00000016381, il reste le bénéficiaire 000000000196959. La gestion a procédé au SV0218 sur ce jour et de la taxe 990I a été calculée à tort. La gestion va être hoirs délai en fin de semaine prochaine.</t>
  </si>
  <si>
    <t>I26_011029</t>
  </si>
  <si>
    <t>INCIDENT CIRVIE1) Référence(s) : CIRVIE : H76643G - Contrat : 1305052) Situation attendue : suppression du collège CADRE3) Situation obtenue : suppression pas possible cirvie propose que le collège ETAM</t>
  </si>
  <si>
    <t>I26_011037</t>
  </si>
  <si>
    <t>INCIDENT VALSIN1) Référence(s) : Assuré : 411320P2) Situation attendue : Déblocage du contrat.3) Situation obtenue : Mail reçu :Je dois effectuer un arbitrage sur ce contrat qui est bloqué pour incident.</t>
  </si>
  <si>
    <t>I26_011038</t>
  </si>
  <si>
    <t>INCIDENT VALSIN1) Référence(s) :- Secteur : SER I- Outil : CIRVIE- Type du sinistre : décès- Numéro de contrat : 32582) Situation attendue : Merci de bien vouloir vérifier et retirer le post it si c’est ok.3) Situation obtenue : Incident VALSIN.</t>
  </si>
  <si>
    <t>I26_011039</t>
  </si>
  <si>
    <t>INCIDENT CIRVIE1) Références : - Secteur : SER I- Outil : CIRVIE- Type du sinistre : Transformation fourgous - N° SOCIETAIRE : 298269F- N° de contrat: 002982696920000 ( BATI 1) - PM contrat : 255 955,73 €- Date d'effet de la transformation fourgous : 29/01/20252) Situation attendue : Pouvoir saisir la transformation fourgous afin de clôturer la demande3) Situation obtenue : L’avance a été soldée en date d’effet du 06/01/2026 :- Opération n°010000000005835- Quittance 7053106- Montant: 52305, 36 €- Blocage lors de la saisie du transfert fourgous : avance en coursS’agissant d’un BATI 1 , et comme le premier trimestre est entamé , il faudrait attendre début avril pour traiter le transfert Je souhaiterais savoir s’il est possible d’annuler la quittance , et de procéder au remboursement de l’avance en date d’effet du 31/12/2025 afin qu’on puisse saisir la transformation fourgous</t>
  </si>
  <si>
    <t>I26_011058</t>
  </si>
  <si>
    <t>Le Job A1P1CV1451 est en etat JOBFAILURE sur SMASPRO1 le 06/02/2026 a 22:37:45. RC=20
Ouvrir un dn</t>
  </si>
  <si>
    <t>Technique</t>
  </si>
  <si>
    <t>I26_011214</t>
  </si>
  <si>
    <t xml:space="preserve">Cirvie Prod ne s'ouvre pas </t>
  </si>
  <si>
    <t>I26_011283</t>
  </si>
  <si>
    <t>CHANGEMENT DU MOT DE PASSE VIE 
l'utilisatrice nous informe qu'elle n'arrive pas à se connecter car elle ne connais pas le mot de passe par défaut de l'appli vie</t>
  </si>
  <si>
    <t>LEKEUKA ZAPDJI, Sarah</t>
  </si>
  <si>
    <t>I26_011318</t>
  </si>
  <si>
    <t>ANOMALIE ARBITRAGE1) Référence(s) : Assuré : 293750Y2) Situation attendue : Correction de l'anomalie.3) Situation obtenue : Mail reçu :Je dois réaliser une opération d’arbitrage automatique sur la police ci-dessus.Toutefois j’ai un blocage lors de l’opération suite à la saisie de celui-ci.2533-Dt avenant saisie &gt; = date fin de policeJe ne trouve pas la raison qui m’empêche de saisir mon opération.</t>
  </si>
  <si>
    <t>I26_011395</t>
  </si>
  <si>
    <t>CIRVIE - PF5
L'utilisatrice appelle car elle est bloqué en PF5 sur Cirvie</t>
  </si>
  <si>
    <t>I26_011429</t>
  </si>
  <si>
    <t>CIRVIE VIE - IMPOSSIBLE DE SE CONNECTER
1) Référence(s) : A23863 - WANTIEP KAMWA Clauvis2) Situation attendue : Pouvoir entrer dans Cirvie - VIE3) Situation obtenue : L'utilisateur ne parvient pas à se connecter sur Cirvie - VIE avec son mot de passe. C'est le mot de passe par défaut et son clavier a des problèmes de branchements.
On entre nous-même le mot de passe =&gt; Ca ne fonctionne pas
On débloque l'utilisateur et on relance =&gt; Idem
Il a probablement écrasé son mot de passe VIE par accident.</t>
  </si>
  <si>
    <t>WANTIEP KAMWA, Clauvis</t>
  </si>
  <si>
    <t>I26_011465</t>
  </si>
  <si>
    <t>CIRVIE - Anomalie RCAN Contrat 000000000144127
1) Référence(s) : OMV le 09/02/20262) Situation attendue : Analyse et faire aparaitre le montant du boost dans le RCAN3) Situation obtenue : Pour le contrat 000000000144127, le boost d'un montant de 63,52€ n'apparait pas sur le RCAN. cf pièce jointe</t>
  </si>
  <si>
    <t>I26_011481</t>
  </si>
  <si>
    <t>CIRVIE - ERREUR PF5
L'utilisatrice nous contacte car elle a une erreur PF5 sur CIRVIE.</t>
  </si>
  <si>
    <t>I26_011562</t>
  </si>
  <si>
    <t>BLOCAGE CIRVIE PF5L'utilisatrice nous appelle car elle a un blocage PF5.</t>
  </si>
  <si>
    <t>I26_011591</t>
  </si>
  <si>
    <t>CIRVIE - PF5
L'utilisatrice est bloquée en PF5</t>
  </si>
  <si>
    <t>Logistique</t>
  </si>
  <si>
    <t>I26_011611</t>
  </si>
  <si>
    <t>ANNULATION QUITTANCES1) Référence(s) :2) Situation attendue : Correction de l'anomalie.3) Situation obtenue : Mail reçu :Je vous écris car je souhaite annuler deux quittances sur Cirvie, mais je n’y parviens pas car l’une d’entre elles date de 2022 et l’autre de 2018. Elles sont donc trop anciennes pour les annuler.Voici les 2 n° de quittance : 5422966 et 4142545. Pourriez-vous procéder à leur annulation ou m’indiquer la démarche à suivre pour y parvenir ?</t>
  </si>
  <si>
    <t>VU, Ophelie</t>
  </si>
  <si>
    <t>I26_011625</t>
  </si>
  <si>
    <t>ANOMALIE RACHAT1) Référence(s) : CRISEAU Elise C38958U 000000000068675 BATI EPARGNE2) Situation attendue : Correction de l'anomalie.3) Situation obtenue : Demande de rachat total.Incident sur ce contrat ( PACTE ), voir capture écran</t>
  </si>
  <si>
    <t>MOUKOKO ESSIBEN JOMBY, Martin Patrick</t>
  </si>
  <si>
    <t>I26_011630</t>
  </si>
  <si>
    <t xml:space="preserve">OUVERTURE CONTRAT1) Référence(s) : Assuré : J33313S2) Situation attendue : Merci de bien vouloir ouvrir le contrat. 3) Situation obtenue : Contrat PREVOYANCE résilié dans CIRVIE au 31/12/2025 STE PRECISION MECANIQUE DE BRIVE- 190501100001727 Sociétaire : J33313S Le sociétaire demande l’annulation de la résiliation du contrat. </t>
  </si>
  <si>
    <t>I26_011639</t>
  </si>
  <si>
    <t>Le Job A1P1CV2520 est en etat JOBFAILURE sur SMASPRO1 le 10/02/2026 a 01:34:08. RC=20</t>
  </si>
  <si>
    <t>I26_011695</t>
  </si>
  <si>
    <t>I26_011760</t>
  </si>
  <si>
    <t>CIRVIE - Mdp CIRVIE DEVPremière connexion</t>
  </si>
  <si>
    <t>I26_011798</t>
  </si>
  <si>
    <t>Problème de numéro souscripteur Coheris1) Référence(s) : Souscripteur N°L24754R2) Situation attendue : Retrouver le sociétaire dans Coheris3) Situation obtenue :L'utilisatrice nous informe que sur le numéro souscripteur L24754R , elle travaille à partir du logiciel Cirvie, mais que ca ne remonte pas dans Cohéris depuis le 20 janvier. L'utilisatrice nous informe que c'est urgent.</t>
  </si>
  <si>
    <t>BOUSSONGA MADOUNGOU, Eva-Jessica</t>
  </si>
  <si>
    <t>I26_011849</t>
  </si>
  <si>
    <t>L'utilisateur a un blocage PF5 sur Cirvie</t>
  </si>
  <si>
    <t>I26_011901</t>
  </si>
  <si>
    <t>CIRVIE - Anomalie intégration Frais médicaux
1) Référence(s) : C. RANGSI le 10/02/20262) Situation attendue : Analyser les écarts et voir ce qui se passe.3) Situation obtenue : Hier, un fichier frais médicaux d'un montant de 657 069,53€ a été déposé pour intégration dans CIRVIE. Il s'avère que la bande de virement de ce matin fait un montant de 646 993,29€. Après comparaison entre le fichier déposé et intégré dans CIRVIE. Il s'avère que 6 sinistres remontent en écart. Ces 6 sinistres sont présents dans CIRVIE avec un montant différent de ce qu'il y a dans le fichier.
Exemple : sinistre 2026 3151 Montant dans CIRVIE 106,79€, montant dans le fichier d'intégration 6 990,67€ et non présent dans la bande de virement.
Ci-joint le fichier détail.</t>
  </si>
  <si>
    <t>I26_011939</t>
  </si>
  <si>
    <t>CIRVIE - Anomalie Frais de tenue de compte BATIAVATANGES (PGM)
1) Référence(s) : Suite I26_0007382) Situation attendue : Les FRTC (UC57) doivent être calculés correctement3) Situation obtenue : Le montant (zone M dans CATB02) est négatif pour 3 contrats (107491900006374, 107491900007047 , 107491900007061) en 2025 et 1 contrat (003657974919000) en 2024. Les montants des supports sont faux.</t>
  </si>
  <si>
    <t>I26_011968</t>
  </si>
  <si>
    <t>SUPPRESION D'UN RIB
1) Référence(s) : Client: 640463M / Contrat: 00000107403 2) Situation attendue : Suppression du RIB.3) Situation obtenue : L'utilisateur voudrait qu'on lui supprime le RIB ca il s'agit d'un RIB perso sur une personne moral.</t>
  </si>
  <si>
    <t>I26_012011</t>
  </si>
  <si>
    <t>I26_012015</t>
  </si>
  <si>
    <t>Epargne collective - ANOMALIE REMBOURSEMENT 1) Référence(s): ITP ISSAUTIER TRAVAUX PUBLICS F60584W // Contrat : 1074919000039202) Situation attendue : Remboursement de la cotisation de 150.04 euros3) Situation obtenue : Remboursement de la cotisation perçue à tort. Résiliation du contrat avant de percevoir la cotisation de décembre 2025.</t>
  </si>
  <si>
    <t>I26_012075</t>
  </si>
  <si>
    <t>CIRVIE - Anomalie 990I - Montant abattement utilisé
1) Référence(s) : OMV le 11/02/20262) Situation attendue : Périmètre et correction des données pour les sinistres décès en cours3) Situation obtenue : La donnée montant abattement utlilié de SVTB22 n'est pas correctement alimenté dans CIRVIE pour les sinsitres décès</t>
  </si>
  <si>
    <t>I26_012184</t>
  </si>
  <si>
    <t xml:space="preserve">IMPOSSIBLE D'ACCEDER A L'APPLICATION VIE 
1) Référence : 
2) Situation attendue : Changer le mot de passe VIE
3) Situation obtenue: l'utilisateur nous informe ne plus avoir le mot de passe de son application VIE 
 </t>
  </si>
  <si>
    <t>CADEUS, Jean Rodrigue</t>
  </si>
  <si>
    <t>I26_012197</t>
  </si>
  <si>
    <t>GESTION SINISTRE - PROBLEME SINISTRE
1) Référence(s) : voir documents / Sociétaire : 508954N / Contrat : 124783 / Sinistre 2026 00000002022
2) Situation attendue : Pouvez-vous vérifier ?
3) Situation obtenue : L'utilisateur nous contacte car elle a un sinistre de 20 048.62€ BRUT, ouvert le 26/01/2026 non clôturé à ce jour. Pas de valo en cours sous UC50. Le sinistre a été validé par la gestion et le courrier et le bordereau ont été édité.</t>
  </si>
  <si>
    <t>I26_012214</t>
  </si>
  <si>
    <t>Accès à l'espace vie
1) Référence(s) :Cirvie - vie2) Situation attendue : Avoir accès à vie3) Situation obtenue : L'utilisatrice nous informe avoir oublier ses mots de passe. Mot de passe cirvie refait et bon. impossible de refaire le mot de passe vie.</t>
  </si>
  <si>
    <t>MERY, Celine</t>
  </si>
  <si>
    <t>I26_012240</t>
  </si>
  <si>
    <t>CIRVIE - Problème affichage bénéficiaires SV0201
1) Référence(s) : OMV le 11/02/20262) Situation attendue : Dans la transaction SV0201, le bénéficiaire en simple doit appraitre une seule fois.3) Situation obtenue : Dans la transaction SV0201, le bénéficiaire apparait en double lors qu'il est bénéficiaire simple et en démembrement sur le sinistres décès et qu'il y a une garantie plancher sur le contrat</t>
  </si>
  <si>
    <t>I26_012281</t>
  </si>
  <si>
    <t>Cirvie. Anomalie calcul assiette 990I. PS calculés à tort.
1) Référence(s) : Anomalie découverte lors de la recette du I26_0004592) Situation attendue : Assiette 990I correcte.3) Situation obtenue : Lors de la vérification du cas du contrat 11747, un Bati Epargne PEP, l'assiette 990I calculée est inférieure à celle attendue.Voir échanges dans le mail ci-joint.</t>
  </si>
  <si>
    <t>I26_012287</t>
  </si>
  <si>
    <t xml:space="preserve">Résiliation contrat 2800184918000 - SC: 280018P
1) Référence : Sociétaire : 280018P - Contrat : 002800184918000
2) Situation attendue : Passage du fonds à 0 pour la résiliation.
3) Situation obtenue: Nous avons reçu une confirmation de résiliation du contrat n° 2800184918000. Mais nous ne pouvons pas résilier car le contrat présente un fonds à 0,1 €.
 </t>
  </si>
  <si>
    <t>I26_012338</t>
  </si>
  <si>
    <t>I26_012347</t>
  </si>
  <si>
    <t xml:space="preserve">Anomalie calcul 990I - Décès de Mme PHILIPPE Marie Claire - sociétaire n° 336900S
1) Référence : Contrat concernées : contrat n° 000159846920001 =&gt; 990I / Sinistre n° 2025 00000022566 - contrat n° 003369006920000 =&gt; 990I / Sinistre n° 2025 00000022564- contrat n° 000159846934001 =&gt; exonéré / sinistre n° 2025 00000022565
2) Situation attendue : Vérifier si les montants sont corrects 
3) Situation obtenue: l'utilisatrice nous informe avoir avoir validé par erreur le bénéficiaire PHILIPPE Thierry (n°49405) et son règlement pour le contrat n° 000159846920001. 
 </t>
  </si>
  <si>
    <t>I26_012397</t>
  </si>
  <si>
    <t>CIRVIE - NUMERO DE SOCIETAIRE NON REMONTE
1) Référence(s) : N° Souscripteur : L28228Y / N° GRC : 2288676 / Nom : Mme MÉNARD VIRGINIE BÉATRICE MARIE JOSEPH / voir documents2) Situation attendue : L'utilisatrice peut faire le suivi des activités avec ce sociétaire3) Situation obtenue : L'utilisatrice appelle car il y a un numéro de Souscripteur fait via SMAVIEBTP qui n'apparaît pas dans CIRVIE. Le numéro de sociétaire a été créé le 05/02/2026 et il n'est toujours pas remonté dans CIRVIE</t>
  </si>
  <si>
    <t>JOSSE, Nabila</t>
  </si>
  <si>
    <t>I26_012462</t>
  </si>
  <si>
    <t>CIRVIE - Absence de prélèvement
1) Référence(s) : V. AUDREN le 11/02/20262) Situation attendue : Pouvez-vous regarder pourquoi la quittance n'est pas dans la bande de prélèvement ?3) Situation obtenue : Lors de nos travaux sur les rappro bancaires, Julio a observé que la quittance n°07046258 d'un montant de 628,00€ n’apparaît pas dans nos bandes de prélèvement (fichier FIS 210SP_20260107) mais bien présente dans CIRVIE et dans les CRE</t>
  </si>
  <si>
    <t>I26_012477</t>
  </si>
  <si>
    <t>Le Job A1P1CV2411 est en etat JOBFAILURE sur SMASPRO1 le 12/02/2026 a 00:50:47. RC=20
ouvrir un incident</t>
  </si>
  <si>
    <t>I26_012506</t>
  </si>
  <si>
    <t xml:space="preserve">PERTE DE MOT DE PASSE CIRVIE
1) Référence : 
2) Situation attendue : Changer le mot de passe vie de Cirvie
3) Situation obtenue: l'utilisatrice nous informe avoir perdu son mot de passe VIE de cirvie
 </t>
  </si>
  <si>
    <t>I26_012552</t>
  </si>
  <si>
    <t>CIRVIE - Anomalie 990I - Dossier LELUC SC 319274U - Bénéficiaire 000000000070510 (Max)1) Référence(s) : lié au I26_0004592) Situation attendue : Montants corrects pour le le bénéf n° 70510
3) Situation obtenue : La validation instruction (SV0218) a été saisie hier pour ce bénéf.En tout, il y 26'413€ de trop prélevé au titre de la 990I, sur les 4 contrats dont il est bénéficiare.Merci de bien vouloir corriger les montants de ce Mr à l'identique des bénéf suivants, ils sont dans la même situation (Lino, Julien et Antoine):000000000070508, 000000000070509 et 000000000107741Contrats concernés :000000000029299 SV 202500000027621003192746921000 SV 202500000027627000000000092562 SV 202500000027807
Les montants peuvent être fournis si besoin.
Pas besoin de CRE.</t>
  </si>
  <si>
    <t>I26_012560</t>
  </si>
  <si>
    <t>CIRVIE - PROBLEME CHANGEMENT ADRESSE MAIL PERSONNE MORALE
1) Référence(s) : voir documents / STE 02 / NAT SC / CD J34364E / N°000000000347502
2) Situation attendue : Pouvoir changer l'adresse mail de cette personne morale.
3) Situation obtenue : L'utilisatrice nous contacte car un message d'erreur (X500 PAS DE DONNEES INTERNET) s'affiche sur CIRVIE quand elle essaye de changer l'adresse mail de la personne morale indiquée. Elle nous indique également que ça fonctionne sur d'autres personnes morales et que son conseiller a également essayé de son côté mais a la même erreur.</t>
  </si>
  <si>
    <t>I26_012592</t>
  </si>
  <si>
    <t>DECES - Post'it CIRVIE - Règlements en attente : Anomalie calcul taxe 990I - MOREAU1) Référence(s): Numéro de sociétaire : 407112Y // Numéro de contrats : 73 et 0040711269800002) Situation attendue : Finaliser deux versements par réemploi pour MAUDUIT Auguste suite anomalie calcul taxe 990I sur le dossier du défunt.3) Situation obtenue : Post it « B029-Incident sur ce contrat (PACTE) » en PO1065. Merci de bien vouloir l’enlever.</t>
  </si>
  <si>
    <t>I26_012593</t>
  </si>
  <si>
    <t xml:space="preserve">ADRESSE MAIL NON REMONTE 
1) Référence : Assuré : 506218J - 281196U
2) Situation attendue : Pouvoir changer l'adresse 
3) Situation obtenue: l'utilisatrice nous informe que lorsqu'elle change l'adresse mail sur cirvie ou coheris celle ci ce remet a l'ancienne le lendemain peut importe la méthode utilisé, l'utilisatrice nous informe qu'elle n'est pas la seul impacte dans son UG. Cela s'est produit sur deux sociétaire différente </t>
  </si>
  <si>
    <t>ABI JAOUDE, Eve</t>
  </si>
  <si>
    <t>I26_012606</t>
  </si>
  <si>
    <t>Cirvie. Anomalie DC 2025 00000029342. PERin 000000000101935
1) DSI. CT. Le 12/02/2026.
2) Situation attendue : DC correct.
3) Situation obtenue : Suite à l'étude de l'incident I26_009262, la situation anormale de ce DC a été découverte.
Message de CT :
En revanche, l'étude du périmètre a permis d'établir un autre sinistre DC à corriger 2025/29342 ( étude en cours : sinistre réglé sans montant bénéficiaire généré et avenant du contrat 101935 sans code statut et motif situation) un incident doit être créé pour permettre le suivi de ce sinistre.</t>
  </si>
  <si>
    <t>I26_012608</t>
  </si>
  <si>
    <t>CIRVIE – B029-Incident sur le contrat n° 002613986924000 (VALSIN OMV)1) Référence(s) : Numéro de contrat : 0026139869240002) Situation attendue : Ne pas avoir de message Incident VALSIN OMV.3) Situation obtenue : L’incident « B029 – Incident sur ce contrat (VALSIN OMV) » se produit sur le contrat n° 002613986924000</t>
  </si>
  <si>
    <t>I26_012744</t>
  </si>
  <si>
    <t>Coheris - Anomalie contrat1) Référence(s) : 11455749 : M NAITALI PATRICK2) Situation attendue : rapatrié le contrat sur la fiche du sociétaire, au numéro L26768T3) Situation obtenue : Suite à un rendez-vous, un contrat BATIEPARGNE a été ouvert la semaine dernière, lors de la diffusion, le numéro sociétaire L26768T a été crée. En cherchant la tâche GED, aucun résultat, elle s'est rapprochée de la gestion qui a remarqué que le contrat a été rattaché au numéro F36858D qui correspond a une fiche cohéris anonymisée.Aucune tâche GED trouvée non plus avec ce dernier numéroSous cohéris le contrat n'apparait sur aucune des deux fiches.</t>
  </si>
  <si>
    <t>HOUANOU, Ermelinda</t>
  </si>
  <si>
    <t>I26_012762</t>
  </si>
  <si>
    <t xml:space="preserve">CIRVIE - INCIDENT COTISATION 1) Référence(s): N° Sociétaire : 593150J // N° contrat :  1088452) Situation attendue : Comment procéder pour ajouter ce complément ?3) Situation obtenue : Le service épargne collective a reçu un complément de cotisations pour M STEPIEN JEAN FRANCOIS , la rente est déjà mise en place dans Assurex en rente multiple </t>
  </si>
  <si>
    <t>DIA, Yann</t>
  </si>
  <si>
    <t>I26_012770</t>
  </si>
  <si>
    <t xml:space="preserve">REOUVERTURE DE CONTRAT
1) Référence : 190501100001276
2) Situation attendue : Rouvrir le contrat
3) Situation obtenue: l'utilisateur nous informe qu'il souhaite rouvrir un contrat clôturer afin de saisir une prestation décès
 </t>
  </si>
  <si>
    <t>SARR, Daouda</t>
  </si>
  <si>
    <t>I26_012781</t>
  </si>
  <si>
    <t>Compte vie bloquéL'utilisatrice nous annonce être bloqué</t>
  </si>
  <si>
    <t>I26_012799</t>
  </si>
  <si>
    <t>CIRVIE - ERREUR D'AFFECTATION1) Référence(s): 14006665202512150001 Montant 286 427,28 €2) Situation attendue : annuler le fichier en totalité3) Situation obtenue : Suite à une erreur, je vous remercie de bien vouloir procéder à l’annulation de ce fichier en totalité.</t>
  </si>
  <si>
    <t>I26_012841</t>
  </si>
  <si>
    <t>Cirvie - Modification ou suppression d'un affilié1) Référence(s): VINCENT Marjorie / N° Affilié : 000000000370840 / Contrat 190501100001745
2) Situation attendue : modifier la date d'entrée au 01/06/2015 au lieu de 01/01/20253) Situation obtenue : Suite à une erreur d’enregistrement de ma part, je souhaiterai, si cela est possible, modifier la date d’entrée dans l’entreprise d’un affilié afin de pouvoir enregistrer un sinistre IJ.</t>
  </si>
  <si>
    <t>I26_012844</t>
  </si>
  <si>
    <t>Problème de connexionL'utilisatrice nous informe qu'elle ne connait plus ses code cirvie</t>
  </si>
  <si>
    <t>BASTIE, Armelle</t>
  </si>
  <si>
    <t>I26_012853</t>
  </si>
  <si>
    <t>CIRVIE - Blocage sur espace VIE1) Référence(s) :2) Situation attendue : mdp espace VIE réinitialisé3) Situation obtenue : impossible d'accéder à l'espace VIE sous CIRVIE, le mot de passe par défaut M0t2pa$S ne fonctionne pas</t>
  </si>
  <si>
    <t>I26_012858</t>
  </si>
  <si>
    <t>REOUVERTURE DE CONTRAT
1) Référence : N° contrat: 190501100001664
2) Situation attendue : Rouvrir le contrat
3) Situation obtenue: l'utilisateur nous informe qu'il souhaite rouvrir un contrat clôturer afin de saisir une prestation décès</t>
  </si>
  <si>
    <t>I26_012862</t>
  </si>
  <si>
    <t>CIRVIE - DEMANDE D'ATTEESTATION PRECISE MADELIN1) Référence(s): contrat PERIN 000000000100031.2) Situation attendue : d’éditer une nouvelle attestation madelin3) Situation obtenue : Je me permets de venir vers vous suite à la réponse du juridique. Je viens de modifier le TNS sur le contrat PERIN 000000000100031. Avons-nous la possibilité d’éditer une nouvelle attestation madelin suite à ma modification ?</t>
  </si>
  <si>
    <t>I26_012866</t>
  </si>
  <si>
    <t>CIRVIE - REOUVERTURE DE CONTRAT POUR REGLEMENT1) Référence(s): assuré: 368504 // contrat 1905011000005112) Situation attendue : ré-ouvrir le contrat3) Situation obtenue : Dans le cadre d’un règlement du capital décès effectif en 2025, merci de ré ouvrir la police 190501100000511 résiliée au 31/12/2025.</t>
  </si>
  <si>
    <t>I26_012882</t>
  </si>
  <si>
    <t>Le Job A1P1CV2411 est en etat JOBFAILURE sur SMASPRO1 le 13/02/2026 a 00:31:36. RC=20
ouvrir un dn</t>
  </si>
  <si>
    <t>I26_012934</t>
  </si>
  <si>
    <t>CIRVIE - MODIFICATION DE LA DATE D'ENTREE1) Référence(s): N° contrat : 190501100000836 // N° assurée : 000000000371135 // date de naissance 04/03/19732) Situation attendue : modifier la date d'entrée au 01/01/2023et enlever la date de sortie3) Situation obtenue : Je me permets de vous solliciter afin de modifier la date d'entrée dans le Collège pour l’assuré MR VANHEULLE TONY et enlever la date de sortie</t>
  </si>
  <si>
    <t>MIRLOUP, Karima</t>
  </si>
  <si>
    <t>I26_013017</t>
  </si>
  <si>
    <t>CIRVIE - Clôture sinistre impossible1) Référence(s) : voir document2) Situation attendue : clore les sinistres3) Situation obtenue : trois sinistres en SV0220  ont étés réglés mais impossible de les clore</t>
  </si>
  <si>
    <t>I26_013068</t>
  </si>
  <si>
    <t xml:space="preserve">CIRVIE -  Délai traitement arbitrage en ligne1) Référence(s) : - Secteur : SER I- Outil : CIRVIE- Type du sinistre : arbitrage - N° SOCIETAIRE : H88095N
- N° de contrat: 127787
- Date de saisi arbitrage  : 31/01/2026- Date de réception arbitrage  : 02/02/2026- Date d’effet comptable :  04/02/2026
2) Situation attendue : Afin de pouvoir répondre à la sociétaire concernant sa demande de geste commercial, Je vous prie de bien vouloir analyser la demande afin de vérifier : 
-    Qu’aucun blocage ou incident n’a retardé la prise en charge.-    Le montant exact de l’impact financière lié à la variation du support entre le 03/02 et 04/02 (nombre de parts, valeur liquidative retenue, moins-value).  
S’agissant d’une réclamation, je vous prie de bien vouloir prioriser la demande.
3) Situation obtenue : La sociétaire signale un délai de traitement de 3 jours ouvrés au lieu de 2 jours habituellement, ce délai rallongé selon la sociétaire, a entrainé une perte importante En raison de la variation du support OFI PRECIOUS METALS entre le 3 et le 4 février. 
Après vérification, Le délai de traitement interne était bien de 2 jours ouvré à compter de la réception qui été au 02/02, conformément aux délais habituels.La sociétaire semble avoir comptabilisé le délai à partir de la date de saisie (31/01). </t>
  </si>
  <si>
    <t>I26_013159</t>
  </si>
  <si>
    <t>CIRVIE - Extraction mensuelle Enquête sociétaire. Correction numéro de sociétaire1) Référence(s) : -Secteur : SER I- Outil : CIRVIE-Type du sinistre : Rachat- N° SOCIETAIRE : C00129G
- N° de contrat: 105257
-N° de sinistre : 2026 00000002135
2) Situation attendue : Apporter les corrections nécessaires 3) Situation obtenue : Suite à un rachat de Monsieur RAULT Jean Michel , une enquête de satisfaction lui a été adressée avec un mauvais numéro de sociétaire H36616U (voir mail du sociétaire ci-dessous)
----
Extraction dans le fichier ci-joint.</t>
  </si>
  <si>
    <t>I26_013178</t>
  </si>
  <si>
    <t xml:space="preserve">CIRVIE PRODUCTION - IMPOSSIBLE D'OUVRIR SITE CENTRAL
L'utilisateur appelle car il n'arrive pas à lancer Site Central et ça affiche une erreur. </t>
  </si>
  <si>
    <t>I26_013297</t>
  </si>
  <si>
    <t>CIRVIE - Contrat 000000000004709
1) Référence(s) : OMV le 16/02/20262) Situation attendue : Analyse et correction de l'anomalie3) Situation obtenue : Anomalie dans le traitement UCB010
 ANOMALIE    Nø  1 3026-Pb lors de l'appel compte courant :         BFT 18 25/09/2025 000000000004709 01 D P           100,00000</t>
  </si>
  <si>
    <t>I26_013333</t>
  </si>
  <si>
    <t>CIRVIE - PROBLEME SUR LA VALIDATION VIA SV0216
1) Référence(s) : Voir document / 653140Q - OBTP SAS  / 006531404919000 - BAV MS / Sinistre : 2026 000000034312) Situation attendue : Correction de l'anomalie.3) Situation obtenue : L'utilisatrice nous informes qu'il est impossibilité pour sa responsable de valider en SV0216, (message d’erreur 2316 : Mode de paiement non autorisé) le sinistre qu'elle a saisi sous SV0206 le 12/02/2026.</t>
  </si>
  <si>
    <t>I26_013421</t>
  </si>
  <si>
    <t>CIRVIE - règlement DC prévoyance  1) Référence(s) : Sinistre DC  2025-330402) Situation attendue : Le sinistre doit être réglé par SMAVIE3) Situation obtenue : Le sinistre a été réglé à partir du compte HSBC SMABTP au lieu de HSCB SMAVIE</t>
  </si>
  <si>
    <t>I26_013435</t>
  </si>
  <si>
    <t>SEL VIE - Contrats manquants sur l'espace en ligne1) Référence(s) : 396949Q 000000000100874 Mme ARCHAMBAULT EDWIGE 2) Situation attendue : avoir accès à tout les contrats via les SEL3) Situation obtenue : la sociétaire n'a accès en ligne qu'au contrat 100050797 PER ENTREPRISE, alors qu'elle a un BATI EPARGNE 39758 et un autre PER ENTREPRISE de janvier 2026De plus, le conseiller indiqué n'est pas le bon, il est indiqué M. CHAUME et cela devrait être Mme Emilie BONNETElle est inscrite en ligne avec le numéro assuré : 000000000100874 et possède aussi le numéro : 000000000087543 (pas de compte en ligne avec ce dernier)Les PER ENTREPRISE sont affiliés.</t>
  </si>
  <si>
    <t>PRUVOST, Pauline</t>
  </si>
  <si>
    <t>SEL, Internaute</t>
  </si>
  <si>
    <t>I26_013458</t>
  </si>
  <si>
    <t>CIRVIE - REOUVERTURE DES POLICES1) Référence(s): NUMERO DE PERSONNE: 000000000347250 // NUMERO SOCIETAIRE: J33266B
2) Situation attendue : rouvrir les polices
1905011000017011905011000017021906011000031851906011000031863) Situation obtenue : Suite à une erreur de résiliation, nous vous prions de bien vouloir rouvrir les polices du client svp.</t>
  </si>
  <si>
    <t>I26_013494</t>
  </si>
  <si>
    <t>Décès - Blocage sur saisie AFN
1) Référence(s) : sociétaire 538701A BONNAT MADELEINE // contrat BATIépargne 1289482) Situation attendue : saisie AFN 3) Situation obtenue : J'ai une anomalie sur Cirvie au moment de la saisie d’une AFN en PO0505 (voir pj) -&gt; msg bloquant - 3501-Adr. domicile inexistante. Est-ce un problème émanant de CIRVIE ou dois-je me rapprocher du BD afin qu’il actualise sur COHERIS ?</t>
  </si>
  <si>
    <t>I26_013575</t>
  </si>
  <si>
    <t>CIRVIE - ERREUR PF5
L'utilisatrice nous contacte car elle a une erreur PF5.</t>
  </si>
  <si>
    <t>I26_013605</t>
  </si>
  <si>
    <t>CIRVIE - Délai de renonciation gestion déléguée1) Référence(s): GED : 2026-011417-2 // SC L27803H // Contrat : 0000000001457632) Situation attendue : débloquer le contrat3) Situation obtenue : Le BD m’envoie une GED car la sociétaire veut faire un VL sur le contrat, néanmoins j’ai un blocage par CIRVIE car le contrat est en délai de renonciation pour la gestion déléguée.J’en informe le conseiller mais il me demande s’il est possible de lever ce blocage si on a un écrit de la sociétaire qui atteste qu’elle ne souhaite pas renoncer ?Ou si dans tous les cas nous devons patienter la fin de ce délai de renonciation ?</t>
  </si>
  <si>
    <t>I26_013644</t>
  </si>
  <si>
    <t xml:space="preserve">CIRVIE - ANOMALIE REMBOURSEMENT1) Référence(s): assuré: 29728 // contrat 003356166921000 BATI 12) Situation attendue : Pourriez vous m’indiquer comment lever le blocage en AV02 ?3) Situation obtenue : Je me permets de revenir vers vous au sujet de l’avance 010000000006035 000. Nous avons reçu une demande de remboursement total cependant lors de la saisie en AV02 le message ci-dessous s’affiche. L’avance est cependant toujours bien en cours en UC50
 </t>
  </si>
  <si>
    <t>I26_013718</t>
  </si>
  <si>
    <t xml:space="preserve">SEL VIE PART - DEMANDE DE PRECISIONS1) Référence(s): Mr Morel André 069988F // Contrat 325952) Situation attendue : avoir plus de precisions3) Situation obtenue : Nous n’avons pas les mêmes valeurs concernant le cumul des versements et le cumul des rachats :
-    le relevé au 31 / 12 / 25        (cumul versements 245 k€ / cumul rachats 235 950 €)-    le panorama client                (cumul versements 249 150 € / cumul rachats 185 832 €)-    les sel                                 (cumul versements 249 150 € / cumul rachats 185 832 €)
Je vous transmets les différents supports, Merci de m’apporter les explications, car notre sociétaire et moi-même ne comprenons pas les données SEL,Idem pour moi concernant le panorama </t>
  </si>
  <si>
    <t>PRIOUR, Karine</t>
  </si>
  <si>
    <t>I26_013722</t>
  </si>
  <si>
    <t>CIRVIE - SINISTRE EN ANOMALIE1) Référence(s): Numéro de sinistre : 2022 00000047861 / N° soc : C71331H2) Situation attendue : Pourriez- vous lever ce blocage afin que nous puissions faire le nécessaire.3) Situation obtenue : Nous avons un sinistre en anomalie I</t>
  </si>
  <si>
    <t>I26_013749</t>
  </si>
  <si>
    <t>Décès - Demande vérification fiscalité 990I
1) Référence(s) : sociétaire 294009K JEAN LOUIS VUILLAUME // contrats 7413 et 002940096921000 // ES 22952 // Sinistres 2025 00000026570 et 2025 000000265462) Situation attendue : VERIFICATION POUR VALIDER LE SV0218 POUR CHRISTIAN – MAELIA – NATHAN – MATHIS ET LUCAS3) Situation obtenue : SUITE ANOMALIE 990I VALIDATION SV0201</t>
  </si>
  <si>
    <t>I26_014101</t>
  </si>
  <si>
    <t>A1P1CV0199 en MSGW dans le AUTOMATE du smaspro1 à 2h50
RAZ des fichiers de la sauvegarde - envt en param
Cause . . . . . : Le programme CL (langage de contrôle) A1P1CV0199 de la bibliothèque EXPLOITP a trouvé une erreur à l'instruction numéro 1500. Le texte du message CPF2105 est le suivant : Objet POTB01 de PROSAVE type *FILEnon trouvé..
réponse R puis D à 3h03
passage P1CV01J success pour enchainement prod</t>
  </si>
  <si>
    <t>I26_014108</t>
  </si>
  <si>
    <t>Redirigé vers un niveau inférieur</t>
  </si>
  <si>
    <t>Le Job A1P1CV0107 est en etat JOBFAILURE sur SMASPRO1 le 18/02/2026 a 02:22:01. RC=20
recovery partiel Ok</t>
  </si>
  <si>
    <t>I26_014158</t>
  </si>
  <si>
    <t>URGENT - CIRVIE - Numéro sociétaire non remonté1) Référence(s) : N° Souscripteur : L28228Y / N° GRC : 2288676 / Nom : Mme MÉNARD VIRGINIE BÉATRICE MARIE JOSEPH / voir document2) Situation attendue : Remontée du numéro dans CIRVIE3) Situation obtenue : Suite incident : I26_012397, il avait été indiqué en clôture qu'aucun produit n'était sélectionné dans le contact sous COHERIS, cela a été fait le jour même, 12/02, mais à ce jour, le numéro n'est toujours pas remonté dans CIRVIE</t>
  </si>
  <si>
    <t>BOUCHER, Cassandre</t>
  </si>
  <si>
    <t>I26_014279</t>
  </si>
  <si>
    <t xml:space="preserve">DECES - Succession PEGOURET REGINE - SC 059460D - Contrat 136290
1) Référence : Numéro de sociétaire : 059460D - - Mme PEGOURET REGINE - N° de contrat: 136290 - Type contrat : BATIépargne
2) Situation attendue : cloture sinistre décès 2026 00000003652 via SV0225
3) Situation obtenue: msg bloquant - 7090-Pb Ecriture Relation / Fichier Travail / 2065-Aucune garantie n'a été sélectionnée
 </t>
  </si>
  <si>
    <t>I26_014293</t>
  </si>
  <si>
    <t>CIRVIE - AJOUT PER IN AFFILIÉ SUR SEL
1) Référence(s) : Voir documents
2) Situation attendue : Ajouter le contrat du sociétaire sur ses SEL et sa PP dans Coheris.
3) Situation obtenue : Mail reçu : "Bonjour, afin de faciliter le suivi de notre sociétaire et de lui apporter une clarté sur ses épargnes, pourriez vous ajouter sur ses SEL le contrat en PJ ?
Sachant qu’il n’est pas possible de le faire apparaitre sa PP dans COHERIS, nous aimerions au moins un accès en ligne.
N° souscripteur PP : 594127Y
Ancien gérant de MC PROJEC
Un grand merci pour votre confirmation et votre retour."</t>
  </si>
  <si>
    <t>CHAUBARD, Camille</t>
  </si>
  <si>
    <t>I26_014311</t>
  </si>
  <si>
    <t xml:space="preserve">INCIDENT VALSIN SUR LE CONTRAT 001437526924000-143752Q
1) Référence: Numéros de sociétaires : 143752Q - Numéro de contrat : 001437526924000 - Numéro GED : 2026-012480-1
2) Situation attendue :  Merci de modifier l’incident afin de transformer le contrat. 
3) Situation obtenue: Nous avons reçu une demande de transformation FOURGOUS sur un contrat avec incident VALSIN. 
 </t>
  </si>
  <si>
    <t>I26_014348</t>
  </si>
  <si>
    <t>Blocage sur l'ajout d'un RIB
1) Référence(s) : AURIGE SA Sociétaire n° 304355P2) Situation attendue : ajouter un nouveau RIB pour enregistrer une nouvelle prestation alors qu’il y a déjà 5 RIB enregistrés3) Situation obtenue : Message bloquant « X018 5 IBAN MAXIMUM »
contournement : Supprimer le RIB Type 13 afin que je puisse ajouter un nouveau RIB</t>
  </si>
  <si>
    <t>I26_014387</t>
  </si>
  <si>
    <t>I26_014430</t>
  </si>
  <si>
    <t>CIRVIE - Anomalie 990I - Montant abattement utilisé
1) Référence(s) : OMV le 18/02/2026
2) Situation attendue : Périmètre et correction des données pour les sinistres décès réglés
3) Situation obtenue : La donnée montant abattement utlilisé de SVTB22 n'est pas correctement alimenté dans CIRVIE pour les sinsitres décès</t>
  </si>
  <si>
    <t>I26_014458</t>
  </si>
  <si>
    <t>CIRVIE - Anomalie date de fin assurance
1) Référence(s) : OMV le 18/02/20262) Situation attendue : Analyse et correction du programme. Merci également de vérifier que l'ordonnancement des traitements est correct.3) Situation obtenue : Les contrats 005093100000636, 005093000000220 et 005093000000689 ont une date de fin d'assurance au 29/02/2026 qui n'existe pas. Cela a fait planter le traitement de résiliation automatique.
De plus, je me suis apperçue que cela a engendré plusieurs courriers de résiliation et également des courriers d'appels de cotisation et d'échéancier.</t>
  </si>
  <si>
    <t>I26_014459</t>
  </si>
  <si>
    <t xml:space="preserve">blocage rachat VALSIN OMV
1) Référence : N° de sociétaire : 541063B - Type d’acte : rachat total - Montant : 69193,66€ - N° de contrat : 93896
2) Situation attendue : saisie d’un rachat total
3) Situation obtenue: au moment de la saisie du rachat, blocage « B029-Incident sur ce contrat (VALSIN OMV) » (voir capture dans le mail ) : 
 </t>
  </si>
  <si>
    <t>I26_014683</t>
  </si>
  <si>
    <t>CIRVIE - Bande de prélèvement
1) Référence(s) : O. DURAND le 19/02/20262) Situation attendue : La bande de prélèvement a été modifiée manuellement et est présente dans le répertoire S:\Transfert\S021\rejeu_CIRVIE\prl Merci de la mettre à disposition de la comptabilité.3) Situation obtenue : La gestion a fait une erreur sur le versement de 7 500€ du contrat 133277 et nous demande d'enlever ce prélèvement de la bande PRELEVEMENTS_AUTO_CIRVIE_SP_20260219033425.XML</t>
  </si>
  <si>
    <t>I26_014690</t>
  </si>
  <si>
    <t xml:space="preserve">ANOMALIE CHANGEMET D'ADRESSE MAIL 
1) Référence : Assuré : 528728G
2) Situation attendue : Pouvoir changer l'adresse mail du sociétaire et mettre katheryne22@hotmail.fr
3) Situation obtenue: l'utilisatrice nous informe qu'elle a tenté changer l'adresse mail du sociétaire partout que cela soit sur cirvie ou coheris mais cela reviens sans cesse à l'ancienne adresse mail  
 </t>
  </si>
  <si>
    <t>GARREC, Catherine</t>
  </si>
  <si>
    <t>I26_014768</t>
  </si>
  <si>
    <t xml:space="preserve">CIRVIE DEV - CHANGEMENT DE MOT DE PASSE 
l'utilisatrice nous informe avoir perdu son mot de passe et souhaite le changer </t>
  </si>
  <si>
    <t>I26_014775</t>
  </si>
  <si>
    <t xml:space="preserve">CIRVIE - Bande de prélèvement rejetée
1) Référence(s) : J. DURAN ROCA2) Situation attendue : Bande de prélèvement modifiée manuellement et mise à disposition dans le répertoire S:\Transfert\S021\rejeu_CIRVIE\prl.
Demande faite à la gestion pour génération de la RUM sur le contrat 000000000026650
Ajout de la RUM VIE26650-20260212 sur le paiement de la quittance 70886543) Situation obtenue : La bande de prélèvement PRELEVEMENTS_AUTO_CIRVIE_HP_20260214020616.XML a été rejetée par HSBC pour une RUM non générée. </t>
  </si>
  <si>
    <t>I26_014794</t>
  </si>
  <si>
    <t>I26_014824</t>
  </si>
  <si>
    <t xml:space="preserve">IMPOSSIBLE DE CHANGER L'ADRESSE MAIL D'UN SOCIETAIRE 
1) Référence : 000000000282803 - DESJARDIN CHRISTOPHE    
2) Situation attendue : Pouvoir changer l'adresse mail du sociétaire et de façon permanente 
3) Situation obtenue: l'utilisatrice nous informe qu'elle n'arrive pas à changer l'adresse mail du sociétaire que se soit sur cirvie ou coheris lors de l'action du changement tout fonctionnement cependant le lendemain l'adresse mail modifié disparait pour retourner à celle de base
 </t>
  </si>
  <si>
    <t>I26_014867</t>
  </si>
  <si>
    <t>CIRVIE - Impossible de changer adresse mail en PE011) Référence(s) : 515395C voir document2) Situation attendue : nouvelle adresse mail : ent.faye@gmail.com3) Situation obtenue : Impossible de changer adresse mail en PE01</t>
  </si>
  <si>
    <t>BARON, Karine</t>
  </si>
  <si>
    <t>I26_014896</t>
  </si>
  <si>
    <t>IMPOSSIBLE DE SORTIR DU DOSSIER CIRVIEL'utilisateur nous appel car il est bloqué dans son dossier CIRVIE.</t>
  </si>
  <si>
    <t>I26_014954</t>
  </si>
  <si>
    <t>DIOP, Moda</t>
  </si>
  <si>
    <t>I26_015044</t>
  </si>
  <si>
    <t>I26_015047</t>
  </si>
  <si>
    <t>CIRVIE - Sinistre rachat partiel 2026 00000003523
1) Référence(s) : OMV le 20/02/20262) Situation attendue : Analyse afin de savoir pourquoi le virement n'est pas parti dans une bande de virement.
Cloturer le sinistre et modifier le moyen de paiement de 29 à 25 et mettre une date de règlement.3) Situation obtenue : Le rachat partiel 2026 00000003523 a été saisi avec une partie en 29 VIREMENT AUTOMATIQUE pour un montant de 15000,00€ et une partie en 25 VIREMENT MANUEL pour un montant de 85000,00€
Le virement automatique n'est pas parti dans une bande de virement et le sinistre est toujours au statut OUVERT VALIDATION.
Vu l'urgence du virement, la comptabilité va procéder à un virement manuel de 15000€ aujourd'hui et une écriture comptable manuel.
Il est impossible de cloturer le sinistre via SV0220, le message "0235-Aucun montant à régler pour ce sinistre" apparait.</t>
  </si>
  <si>
    <t>I26_015052</t>
  </si>
  <si>
    <t>PROBLEME DE MODIFICATION DE PAYS DE NAISSANCE
1) Référence(s) : Voir document / MME   BRIQUET MARION / N°ES :  108223 / Pays de naissance : US/ HOUSTON2) Situation attendue : Modifier le pays de naissance sur cirvie.3) Situation obtenue : L'utilisateur n'arrive pas a modifier son pays de naissance car une fois modifié, l'outil ne le valide pas et il voudrait mettre comme pays de naissance JAPON.</t>
  </si>
  <si>
    <t>I26_015064</t>
  </si>
  <si>
    <t>Le Job XZP1SC3252 est en etat JOBFAILURE sur x24812pa le 20/02/2026 a 12:54:39. RC=3</t>
  </si>
  <si>
    <t>I26_015119</t>
  </si>
  <si>
    <t>CIRVIE - BLOCAGE PF5
L'utilisatrice appelle car elle a un PF5 qui la bloque sur Cirvie.</t>
  </si>
  <si>
    <t>I26_015161</t>
  </si>
  <si>
    <t>COTISATIONS PRELEVEES ERRONEES
1) Référence(s) : N° Sociétaire : C46873S /N° de contrat : 0060936000023052) Situation attendue : remettre en ordre les cotisations du contrat.3) Situation obtenue : Le compte client est ko à la suite d’un avenant passé sur le contrat en date du 27/1/2026 (voir échanges ci-dessous). Les cotisations prélevées sont erronées, elles devraient s’élever à 200.61 € pour le mois de février 2026, comme l’échéancier le prévoyait initialement.</t>
  </si>
  <si>
    <t>I26_015167</t>
  </si>
  <si>
    <t>DECES - MESSAGE JUSTICE
1) Référence(s) : Numéro de sociétaire : 301176H / Numéro de contrat : 003011766921000 / Voir document2) Situation attendue : Vérifier le message justice.3) Situation obtenue : B029-Incident sur ce contrat (JUSTICE)</t>
  </si>
  <si>
    <t>I26_015213</t>
  </si>
  <si>
    <t>Incident lié</t>
  </si>
  <si>
    <t>CIVIE - DECES EI INCIDENT ARBITRAGE
1) Référence(s) : Client: 324627M Contrat 0000000000047092) Situation attendue : Avoir la démarche à suivre.3) Situation obtenue : L'utilisatrice annulé un sinistre décès 2025 00000024413 et en voulant le ressaisir ça lui a indiqué « absence d’arbitrage ». Elle ne peux plus ressaisir l’arbitrage qui doit être en date du 19/09/2025.CIRVIE - Contrat 000000000004709
1) Référence(s) : OMV le 16/02/20262) Situation attendue : Analyse et correction de l'anomalie3) Situation obtenue : Anomalie dans le traitement UCB010
 ANOMALIE    Nø  1 3026-Pb lors de l'appel compte courant :         BFT 18 25/09/2025 000000000004709 01 D P           100,00000</t>
  </si>
  <si>
    <t>I26_015229</t>
  </si>
  <si>
    <t xml:space="preserve">Le Job A1P1CV2520 est en etat JOBFAILURE sur SMASPRO1 le 21/02/2026 a 00:23:50. RC=20
la suite s'enchaine bien 
 </t>
  </si>
  <si>
    <t>I26_015284</t>
  </si>
  <si>
    <t xml:space="preserve">IMPOSSIBLE DE SE CONNECTER A CIRVIE 
1) Référence :
2) Situation attendue : Pouvoir se connecter a l'application vie 
3) Situation obtenue: l'utilisatrice nous informe qu'elle n'arrive pas à se connecter à cirvie car le mot de passe par défaut de cirvie ne fonctionne pas </t>
  </si>
  <si>
    <t>I26_015346</t>
  </si>
  <si>
    <t>CIRVIE - MOT DE PASSE ERRONNE
L'utilisatrice appelle car elle est bloquée sur CIRVIE. Dés qu'elle met le mot de passe par défaut ça lui dit que son mot de passe est erronné.</t>
  </si>
  <si>
    <t>I26_015370</t>
  </si>
  <si>
    <t>CIRVIE - IMPOSSIBLE DE SE CONNECTER
L'utilisatrice appelle car elle ne peut pas se connecter sur CIRVIE DEV car elle ne mettait pas le bon mot de passe.</t>
  </si>
  <si>
    <t>I26_015378</t>
  </si>
  <si>
    <t>I26_015382</t>
  </si>
  <si>
    <t xml:space="preserve">CIRVIE DEV - MAUVAIS DROITS
1) Référence(s) : voir documents2) Situation attendue : Avoir les bons droits sur Cirvie DEV.3) Situation obtenue : Lorsque je lance Cirvie DEV, je n'ai pas le bon menu donc pas les droits pour changer les mot de passes et déverrouiller les comptes Cirivie DEV. </t>
  </si>
  <si>
    <t>I26_015387</t>
  </si>
  <si>
    <t xml:space="preserve">CHANGEMENT NUMERO DE TELEPPHONE
1) Référence : 319527A - LEMASSON ERIC    
2) Situation attendue : Changer le numéro actuel sur cirvie par 06 13 72 03 69
3) Situation obtenue: l'utilisatrice nous informe qu'elle n'arrive pas à modifier le numéro de téléphone de l'assuré sur cirvie car la ligne est grisé pour elle 
 </t>
  </si>
  <si>
    <t>I26_015490</t>
  </si>
  <si>
    <t xml:space="preserve">CIRVIE - PF5
L'utilisatrice appelle car elle ne peut pas se connecter à la vue VIE de CIRVIE. </t>
  </si>
  <si>
    <t>LABROSSE, Maylis</t>
  </si>
  <si>
    <t>I26_015506</t>
  </si>
  <si>
    <t xml:space="preserve">CIRVIE - COMPTE BLOQUE
L'utilisatrice appelle car elle est bloqué sur Cirvie : ça lui demande de reprendre son travail en cours. </t>
  </si>
  <si>
    <t>I26_015573</t>
  </si>
  <si>
    <t>CIRVIE - Intégration sinistres courtage
1) Référence(s) : Correction PGM du I26_0119012) Situation attendue : Les 2 fichiers sont copiés en ajout dans le fichier historique des frais médicaux SVTB70. Le programme traite le contrat pour le 1er courtier (création d’un sinistre) puis met à jour le fichier historique des frais médicaux SVTB70 (date de traitement, sinistre crée) pour tous les enregistrements liés au contrat. Tous les enregistrements du contrat sont donc mis à jour alors qu’un seul courtier a été traité. Il faudrait ajouter le courtier dans les critères de mise à jour du fichier SVTB70. Merci de créer un incident programme.
3) Situation obtenue : 2 fichiers sinistres courtae contenant un même contrat mais des courtiers différents ont été déposés le même jour.</t>
  </si>
  <si>
    <t>I26_015574</t>
  </si>
  <si>
    <t>INCIDENT VALSIN
1) Référence(s): Numéro de contrat : 000000000086362 / Numéro GED :  2026-013363-1 / Numéro sociétaire : 353699J / Voir document2) Situation attendue : Pourriez- vous nous indiquer si nous pouvons procéder au rachat.
3) Situation obtenue : Nous avons reçu une demande de rachat pour le contrat BATI EPARGNE.</t>
  </si>
  <si>
    <t>I26_015585</t>
  </si>
  <si>
    <t>PROBLEME SUR LES AVENANTS
1) Référence(s) : WEBNET / Client: J38052D / Contrats: 190601100003394 - 1906011000033952) Situation attendue : Remettre en vigueur les 2 contrats cités en référence afin d’effectuer les avenants demandés.3) Situation obtenue : Demande d’avenant reçue à effectuer du 01/01/2026 au 31/03/2026 mais contrats résiliés au 31/12/2025.</t>
  </si>
  <si>
    <t>I26_015642</t>
  </si>
  <si>
    <t>Le Job A1P1CV2520 est en etat JOBFAILURE sur SMASPRO1 le 24/02/2026 a 01:22:04. RC=20
ouvrir un dn</t>
  </si>
  <si>
    <t>I26_015784</t>
  </si>
  <si>
    <t xml:space="preserve"> Versement a recycler N° 306120A 
1) Référence : Secteur : SER I - Outil : CIRVIE - Type du sinistre : versement - N° SOCIETAIRE : 306120A - Montant du versement : 4 000 €
- Date d'effet du versement : 23/02/2026
2) Situation attendue : Pouvoir valider et clôturer la demande
3) Situation obtenue: Message d'incident sur ce contrat à recycler (voir pj du mail)
 </t>
  </si>
  <si>
    <t>I26_015797</t>
  </si>
  <si>
    <t xml:space="preserve">BLOCAGE INCIDENT VALSIN
1) Référence : 2026-013749-1 - SC : 422906M - Contrat : 000000000084783
2) Situation attendue : Déblocage de la situation 
3) Situation obtenue: L'utilisatrice nous informe qu'elle rencontre un incident valsin pour une demande de mise en place d’une gestion déléguée pour Mme LUISETTI.
 </t>
  </si>
  <si>
    <t>I26_015808</t>
  </si>
  <si>
    <t xml:space="preserve">BLOCAGE INCIDENT VALSIN
1) Référence : 2026-013743-1 - SC : 278106U - Contrat : 002781066924000
2) Situation attendue : Déblocage de l'incident valsin 
3) Situation obtenue: l'utilisatrice nous informe qu'elle rencontre un blocage valsin pour une transformation FOURGOUS Mr LUISETTI. (capture en pj du mail)
 </t>
  </si>
  <si>
    <t>I26_015895</t>
  </si>
  <si>
    <t>I26_015900</t>
  </si>
  <si>
    <t>CONNEXION A CIRVIE IMPOSSIBLE
1) Référence(s) : 06 62 33 48 632) Situation attendue : Connexion a cirvie coter VIE3) Situation obtenue : L'utilisatrice n'arrive pas a se connecter a cirvie coter VIE même avec le mot de passe par défaut.</t>
  </si>
  <si>
    <t>CHEVALLIER, Laetitia</t>
  </si>
  <si>
    <t>I26_015908</t>
  </si>
  <si>
    <t>CIRVIE - Absence de prélèvement (Incident PGM)
1) Référence(s) : Suite I26_0124622) Situation attendue : Le prélèvement doit être envoyé même si le contrat est clos.
3) Situation obtenue : Absent de la bande de prélèvement.</t>
  </si>
  <si>
    <t>I26_015911</t>
  </si>
  <si>
    <t xml:space="preserve">Contrats à réouvrir
1) Référence : SERVYR COURTAGE    190501100002175    EXPEDITORS INTERNATIONAL FRANCE SERVYR COURTAGE    190501100002176    EXPEDITORS INTERNATIONAL FRANCE 
2) Situation attendue : Merci de bien vouloir réouvrir ces 2 contrats svp. 
3) Situation obtenue: Je dois réouvrir ces 2 contrats svp.
 </t>
  </si>
  <si>
    <t>I26_016005</t>
  </si>
  <si>
    <t xml:space="preserve"> Le Job A1P1CV2406 est en etat JOBFAILURE sur SMASPRO1 le 25/02/2026 a 00:44:27. RC=20 </t>
  </si>
  <si>
    <t>I26_016022</t>
  </si>
  <si>
    <t>CIRVIE - Ecart BANCO bande de virement /ANAEL (un sinistre Décès)
1) Référence(s) : Date de survenance : 20/02/2026 / Date de déclaration : 25/02/2026 / Voir document
2) Situation attendue : Cohérence entre les bandes de virement et le flux comptable.3) Situation obtenue : Banco - Écart bande de virement /ANAEL. Bande de virement 66128,89€ et ANAEL : 76914,63 €. L’écart est dû au décès Décès 2024-53694.
Dans ANAEL, les montants pour ce sinistre sont erronés : o 5 CRE pour les pénalités de retard alors qu’il n’y a que 3 bénéficiaireso Le montant brut sinistre est erroné : 53181.01 € au lieu de 43535,59 € o Le montant de règlement de 2 bénéficiaires est 17328.61 au lieu de 11845,74€</t>
  </si>
  <si>
    <t>I26_016171</t>
  </si>
  <si>
    <t>CIRVIE -  Avance 010000000006078
1) Référence(s) : Date de survenance: 29/01/2026 / Date de déclaration: 25/02/2026
2) Situation attendue : Correction de l'anomalie.3) Situation obtenue : L'utilisateur nous informe qu'ils ont un suspens sur le compte ‘402233’ concernant l’avance n° 010000000006078 effectuée le 30/12/2025. En comptabilité, ils ont bien l’écriture de banque mais pas celle du journal I66 Emission AVCE.(Suite a une consultation dans CIRVIE, la date est erronée année 2028)</t>
  </si>
  <si>
    <t>MATEUS, Fabrice</t>
  </si>
  <si>
    <t>I26_016175</t>
  </si>
  <si>
    <t xml:space="preserve">CIRVIE - ANOMALIE PRELEVEMENT FORFAITAIRE
1) Références : - Secteur : SER I- Outil : CIRVIE- Type du sinistre : rachat total - N° SOCIETAIRE : 590205X
- N° de contrat: 56849- Montant du rachat brut : 1 735,62 €
- Date d'effet du rachat : 10/02/2026
2) Situation attendue : Pouvoir comprendre la raison pour laquelle il y’a eu un prélèvement forfaitaire a auteur de 7,5 % . 
3) Situation obtenue :Message d'incident sur ce contrat : le sociétaire a une résidence fiscale en suisse , le nécessaire a été fait sous PE01 et sous PE07 , Il y a eu un prélèvement forfaitaire alors que la convention fiscale avec la suisse prévoit une taxation à 0%
Le PE07 a été mis a jour le 10/02 et la date d’effet du rachat été au 10/02 également, cela peut-il être à l’origine du prélèvement ? </t>
  </si>
  <si>
    <t>I26_016265</t>
  </si>
  <si>
    <t>DECES - DEMANDE CONFIRMATION CONTRAT BATI 1  0094961869200001) Référence(s): Numéro de sociétaire : 949618G / Numéro de contrat : 009496186920000 / Assuré : 513742) Situation attendue : Confirmation du souscripteur concernant le contrat BATI 1  0094961869200003) Situation obtenue : Je m’interroge sur le prénom de notre assuré  Mr GUGLIELMINI JEAN CHARLES  - PRENOM « GUILLAUME JEAN GUGLIELMINI» sur le contrat BATI 1  009496186920000
Notre assuré a souscrit un contrat BATIEPARGN 000000000001019 au nom de MR JEAN GUGLIELMINI né le 07 JUILLET 1932 – ASSURE 1149
Pourriez vous me confirmer que le contrat « GUILLAUME JEAN GUGLIELMINI» sur le contrat BATI 1  009496186920000 a bien été souscrit par MR JEAN GUGLIELMINI ?</t>
  </si>
  <si>
    <t>I26_016271</t>
  </si>
  <si>
    <t>CIRVIE VIE - BLOCAGE PF5
L'utilisatrice appelle car elle est bloqué sur Cirvie sur l'environnement VIE.</t>
  </si>
  <si>
    <t>BONNEAU, Gwendoline</t>
  </si>
  <si>
    <t>I26_016289</t>
  </si>
  <si>
    <t>I26_016293</t>
  </si>
  <si>
    <t xml:space="preserve">Cirvie Dev - Suppression Utilisateur1) Référence(s): A252442) Situation attendue : Supprimer l'utilisateur3) Situation obtenue : Merci de créer un incident à destination de l’équipe Admin AS400 (Fabrice POULET) pour un user que nous ne pouvons pas supprimer sur Cirvie Dev </t>
  </si>
  <si>
    <t>HAUTDECOEUR, Antoine</t>
  </si>
  <si>
    <t>EXP Système AS400</t>
  </si>
  <si>
    <t>I26_016309</t>
  </si>
  <si>
    <t>CIRVIE - Blocage saisie MDP VIE</t>
  </si>
  <si>
    <t>I26_016315</t>
  </si>
  <si>
    <t xml:space="preserve">frais de gestion négociés contrat CIBTP contrat N° 131582
1) Référence : 
2) Situation attendue : Répondre au interrogation de l'utilisateur
3) Situation obtenue: Mail : Je me permets de venir vers vous concernant ce dossier pour contrat 131582, nous avons omis au départ de l’adhésion de mettre dans relations OPCFRAISREDUITS que j’ai rajouter par la suite. Apparemment il y aurait une erreur sur les frais de gestion appliqués sur le Batiplacement Multicompte OPC n°131582 souscrit par la CIBTP RAA le 18/11/2022.En effet ces derniers devraient être divisés par deux, soit 0,30% pour le support en € et 0,42% pour les UC.
Comment puis je modifier ces frais pour que cela soit à jour ?En PO1090 ?
Y’a-t-il d’autres modifications à effectuer pour que le contrat soit de nouveau conforme ?
 </t>
  </si>
  <si>
    <t>I26_016374</t>
  </si>
  <si>
    <t>Le Job A1P1CV2405 est en etat JOBFAILURE sur SMASPRO1 le 26/02/2026 a 00:43:03. RC=20
Ouvrir un dn</t>
  </si>
  <si>
    <t>I26_016415</t>
  </si>
  <si>
    <t xml:space="preserve">IMPOSSIBLE D'ACCEDER A L'APPLICATION VIE
1) Référence(s) : Voir Documents
2) Situation attendue : Avoir de nouveau accès à l'application VIE dans CIRVIE.
3) Situation obtenue : Mme TASTET nous appelle car elle ne peut plus accéder à l'application VIE sur CIRVIE, cela lui affiche que le matricule ou le mot de passe est erroné quand elle essaye de se connecter.
 </t>
  </si>
  <si>
    <t>I26_016482</t>
  </si>
  <si>
    <t xml:space="preserve">fichiers REMPARTS_TRIM
1) Référence :
2) Situation attendue : Base de données complète
3) Situation obtenue: Certaines lignes des fichiers REMPARTS_TRIM n’ont pas de « BDIN2 » ni de « NOMBDIN2 » renseignées (colonnes AA et AB).
En pièce jointe, vous trouverez un fichier Excel dans lequel j’ai répertorié des lignes qui devraient correspondre à l’Auxiliaire dont les colonnes AA et AB ne sont pas renseignées. Elles sont issues des fichiers :
- REMPART_TRIM_20250401- REMPART_TRIM_20250701- REMPART_TRIM_20251001- REMPART_TRIM_20260102
 </t>
  </si>
  <si>
    <t>I26_016492</t>
  </si>
  <si>
    <t>Cirvie. Ficovie. Aucune déclaration de transfert envoyée pour le transfert SagéVie vers SMAVie1) Référence(s) : OMV. MA. Le 06/02/20262) Situation attendue : Déclarations de transfert sortant pour les polices d'origine et déclarations de transfert entrant pour les polices issues du transfert.3) Situation obtenue :
Aucune déclaration de transfert n'a été envoyée par le traitement du 26/01/2026.
Résultat attendu : Générer ces déclarations dans un Env non anonymisé afin de procéder à un envoi manuel à la DGFIP.
Les vérifications ont été réalisées avec ces requêtes :
a22083/POLORGN07 : Fichier des polices d'origine
a22083/POLISSTRSF : Fichier des polices issues des transferts.
1)
select * from potb93 where nocnt in (select nopol from a22083/POLORGN07)and idfic = '775684772-2026-01-26-0001' 
2)
select * from potb93 where nocnt in (select nopol from a22083/POLISSTRSF)and idfic = '775684772-2026-01-26-0001'
Idem avec IdFic = ' '
Même problème avec les déclarations annuelles du 31/12/25</t>
  </si>
  <si>
    <t>I26_016565</t>
  </si>
  <si>
    <t>CIRVIE PERTE DE MOT DE PASSE
1) Référence(s) : 06 43 39 16 372) Situation attendue : Pouvoir se connecter a cirvie coter VIE.3) Situation obtenue : L'utilisateur veut pour la première fois se connecter a cirvie coter VIE mais n'arrive pas et avec le mot de passe par défaut sa ne fonctionne pas.</t>
  </si>
  <si>
    <t>KECHIR, Hassiba</t>
  </si>
  <si>
    <t>NGAMOKOUBA, Toli</t>
  </si>
  <si>
    <t>I26_016575</t>
  </si>
  <si>
    <t xml:space="preserve">Demande de correction IFU
1) Référence : Secteur : SER I - Outil : CIRVIE - Type de l’opération : VERSEMENT LIBRE- N° SOCIETAIRE : G26142U - Ctt : 113700 - Date d'effet du VERSEMENT LIBRE  02/12/2025
2) Situation attendue : Saisie ce jour d’un VL de 3 500,00 € au 02/12/2025 + attestation MADELIN 2025 rééditée.
3) Situation obtenue: Suite aux échanges avec l’équipe et comme convenu je vous remercie de bien vouloir demander à l’administration fiscale une correction sur l’IFU 2025, et de procéder à une déclaration fiscale rectificative. 
 </t>
  </si>
  <si>
    <t>I26_016616</t>
  </si>
  <si>
    <t>CIRVIE VIE - PF5
L'utilisatrice appelle car elle est bloquée sur Cirvie VIE.</t>
  </si>
  <si>
    <t>I26_016618</t>
  </si>
  <si>
    <t>CIRVIE - ERREUR PF5
L'utilisatrice nous contacte car elle a une erreur PF5 en essayant de se connecter sur CIRVIE.</t>
  </si>
  <si>
    <t>I26_016698</t>
  </si>
  <si>
    <t xml:space="preserve"> Le Job A1P1CV1452 est en etat JOBFAILURE sur SMASPRO1 le 27/02/2026 a 00:18:28. RC=20 
La suite s'est enchainé ok </t>
  </si>
  <si>
    <t>I26_016712</t>
  </si>
  <si>
    <t xml:space="preserve">CIRVIE - DEMANDE DE MOT DE PASSE
L'utilisatrice nous envoie un mail pour un nouvel auxiliaire qui n'a pas encore ses mots de passe pour Cirvie. </t>
  </si>
  <si>
    <t>LEBON, Isabelle</t>
  </si>
  <si>
    <t>KONE, Rokia</t>
  </si>
  <si>
    <t>I26_016716</t>
  </si>
  <si>
    <t>CIRVIE - Mise à jour HA01
1) Référence(s) : OMV le 27/02/20262) Situation attendue : Mise à jour de la table HA01 cf pièce jointe.3) Situation obtenue : Suppression des postes commençant par S et ajout de 4 postes pour le badge A1AF46</t>
  </si>
  <si>
    <t>I26_016743</t>
  </si>
  <si>
    <t>CIRVIE - paramétrage SV01
1) Référence(s) : P. DONEAU le 27/02/20262) Situation attendue : Paramétrage de la table SV01 pour A243903) Situation obtenue : Non accès au sinistre pour Lisa SAYEB A24390</t>
  </si>
  <si>
    <t>I26_016773</t>
  </si>
  <si>
    <t>CIRVIE - VALSON demande de rachat
1) Références :- Pièce jointe - mail avec capture d'écran- Secteur : SER I- Outil : CIRVIE- Type du sinistre : Rachat partiel- Numéro de sociétaire: 297369S- N° de contrat: 002973696924000- Montant du rachat : 15 000 €- Date d'effet: 25/02/20262) Situation attendue : Pouvoir traiter la demande de rachat du sociétaire
3) Situation obtenue :
L'utilisatrice nous a envoyé un mail pour nous signaler que lors du traitement de la demande de rachat elle a un message "B029- Incident sur ce contrat (Valsin OMV)" -&gt; (Voir mail avec capture d'écran en PJ)</t>
  </si>
  <si>
    <t>I26_016979</t>
  </si>
  <si>
    <t xml:space="preserve">PERTE DE MOT DE PASSE CIVIE 
l'utilisatrice nous informe avoir perdu le mot de passe cirvie et souhaite le changer 
 </t>
  </si>
  <si>
    <t>OLIVER, Veronique</t>
  </si>
  <si>
    <t>I26_017052</t>
  </si>
  <si>
    <t>CIRVIE - FORCAGE AVENANT
1) Référence(s) : Voir documents
2) Situation attendue : Forcer la date au 01/01/2025 pour l'avenant du 01/01/2026.
3) Situation obtenue : Mail reçu : "PROBLEMATIQUE : 
Changement du CT2 sur les contrats suivant en PREVOYANCE : 
-    190501100001087-    190501100001088
DATE EFFET : 01/01/2025 
Changement CT 2 de CGRM (07000503) à ROEDERER  (07000336) 
Un avenant au 01/01/2026 a déjà été fait.  Pouvez-vous forcer la date au 01/01/2025 ?"</t>
  </si>
  <si>
    <t>I26_017410</t>
  </si>
  <si>
    <t>Cirvie-Clôture affiliation
1) Référence(s) : 0000001000401662) Situation attendue : L'affiliation n'a plus de PM, merci de passer le CSIT à '0003'3) Situation obtenue : CSIT à '0002'</t>
  </si>
  <si>
    <t>I26_017465</t>
  </si>
  <si>
    <t>INCIDENT CIRVIE1) Référence(s) :Numéro de sociétaire : 506971DNuméro de contrat : 000000000124724Assuré : 655762) Situation attendue : Correction de l'anomalie.3) Situation obtenue : Post it sur la fiche PE 01 BF - Marie – BF – 364629 1/24 (nièce)- LIBANA135 Examen renforcé =&gt; corr. TRACFINJ’ai eu l’accord de la LCBFT pour virer les fonds, bénéficiaire qui réside au LIBANPuis je valider mon règlement SV0218 ?</t>
  </si>
  <si>
    <t>I26_017573</t>
  </si>
  <si>
    <t xml:space="preserve">IMPOSSIBLE D'ACCEDER A L'APPLICATION VIE VIA LE MATRICULE P
1) Référence : 
2) Situation attendue : Pouvoir accéder a l'environnement P sur l'application vie 
3) Situation obtenue: l'utilisatrice nous informe qu'elle arrive bien à se connecter à l'application vie via son badge cependant cela ne fonctionne pas avec l'environnement P car un message d'erreur apparait "E9004 Matricule ou mot de passe erroné"
 </t>
  </si>
  <si>
    <t>LANCELIN, Valerie</t>
  </si>
  <si>
    <t>I26_017708</t>
  </si>
  <si>
    <t>PREMIER ACCES SITE CENTRAL
L’utilisatrice souhaite accéder au Site Central pour la première fois.</t>
  </si>
  <si>
    <t>PRIAM, Carolane</t>
  </si>
  <si>
    <t>I26_017730</t>
  </si>
  <si>
    <t>PROBLEME EDITIQUE IDENTIFIANT SEL
1) Référence(s) : 1140498 - M BOURGEOIS ALAIN / 0000000000473542) Situation attendue : Correction de l'anomalie.3) Situation obtenue : Le sociétaire a un numéro d’identifiant SEL différent sur Cirvie et sur ses relevés. Le SRC leurs a indiqués que le bon numéro est celui de Cirvie.</t>
  </si>
  <si>
    <t>I26_017741</t>
  </si>
  <si>
    <t>ACCES CIRVIE VIE1) Référence(s) :2) Situation attendue : Accès à CIRVIE VIE.3) Situation obtenue : L'utilisatrice ne parvient pas à accéder à CIRVIE VIE. Le mot de passe par défaut ne fonctionne pas.</t>
  </si>
  <si>
    <t>I26_017841</t>
  </si>
  <si>
    <t>Problème CirvieMadame Robin nous appel car son Cirvie semblait poser problème mais a réussi a régler son problème.</t>
  </si>
  <si>
    <t>I26_017850</t>
  </si>
  <si>
    <t xml:space="preserve">SEL PARTICULIERS - CONSULTATION CONTRATS1) Référence(s) : Assuré : F21868E Philippe TISNE2) Situation attendue : Accès aux contrats.3) Situation obtenue : Mail reçu :Notre assuré en objet à deux numéros de SC et 2 N° ES.Sur le F21868E N° de ES  241883Il a son affiliation compte retraiteSur le 299279A N° assuré 1986762 BATI EPARGNE 1 affiliation PER ENTREPRISECet assuré nous demande de pouvoir visualiser l’ensemble de ses contrats car aujourd’hui il est inscrit sur SEL avec N° ES 198676  mais ne voit que son affiliation compte retraite (alors que le N°198676 correspond à son affiliation PER ENTREPRISE ET CONTRATS INDVIDUELS).Pouvez vous nous aider à répondre à cette demande ? </t>
  </si>
  <si>
    <t>I26_017853</t>
  </si>
  <si>
    <t>Le Job XZP1SC3252 est en etat JOBFAILURE sur x24812pa le 03/03/2026 a 12:56:54. RC=3</t>
  </si>
  <si>
    <t>ETD Domaine Décisionnel</t>
  </si>
  <si>
    <t>I26_017913</t>
  </si>
  <si>
    <t xml:space="preserve">CIRVIE - Anomalie relevé à la demande BATIPLACEMENT OPC 142941
1) Référence(s) : S. GUILLEMIN le 03/03/20262) Situation attendue : Analyse et correction du relevé.3) Situation obtenue : Le relevé à la demande généré via la trasaction TX05 pour le contrat 142941 (NB PM = 105M€) est erroné.
En effet, le tableau relatif à la garantie de fidélité (2ème tableau) n'est pas en adequation avec le relevé de la Pm (1er tableau).
D'après mes calculs :
le montant de la garantie de fidélité est bien de 1 681 460,78€. OK avec le relevé dans les 2 tableaux,
le montant de l'épargne constituée est bien de 105 311 150,28€. OK sur le 1er tableau mais pas dans le 2ème tableau. Epargne constituée affichée à 104 957 408,53€,
la valeur de rachat est bien de 103 629 689,50€. OK dans le 1er tableau mais pas dans le 2ème tableau. Sauf la ligne total du 2ème tableau.
Il y a une incohérence dans le 2ème tableau sur la ligne Investissement de moins de 1 an.
 </t>
  </si>
  <si>
    <t>GUILLEMIN, Stephane</t>
  </si>
  <si>
    <t>I26_017971</t>
  </si>
  <si>
    <t>CIRVIE - Saisie sinistre sur assuré avec 2 contrats
1) Référence(s) : Correction PGM de I26_0099542) Situation attendue : Avoir le sinistre rattaché au bon contrat3) Situation obtenue : 2 contrats associés au même sinistre : Lors de l’ouverture du sinistre (transaction SV0205), le gestionnaire a sélectionné un contrat, validé par F5 jusqu’à au moins l’écran SVE037 (liste des bénéficiaires) puis est retourné à l’écran de sélection des contrats par F3 et a choisi un autre contrat. Merci de créer un incident programme.</t>
  </si>
  <si>
    <t>I26_017980</t>
  </si>
  <si>
    <t>CIRVIE - annulation et re-saisie d'un rachat déjà réglé    
1) Référence(s): Numéro de contrat : 000000000134257 / Numéro sinistre: 2026 00000003264 / Numéro sociétaire : J21313U2) Situation attendue : Pouvez-vous, s’il vous plaît, vérifier la situation et leurs indiquer la marche à suivre ?3) Situation obtenue : M. et Mme RODRIGUES ont chacun effectué un rachat total. Lors de la saisie des rachats, ils ont malheureusement pas indiqué la même date pour les deux opérations, ce qui a généré un écart de 14 €. Pour corriger cet écart, ils ont procédés à l’annulation du sinistre de Madame afin de le ressaisir à l’identique de celui de Monsieur. Cependant, malgré l’annulation et le passage du batch, le contrat n’apparaît toujours pas.
MR DAVID RODRIGUES sc: J21317Y BATIEPARGN 000000000134258Sinistre : 2026 00000003268 ged : 2026-008633-1en date du 03/02/2026 ( date création dossier)net : 52690,74
MME ELISABETH RODRIGUES sc: J21313U BATIEPARGN 000000000134257Sinistre : 2026 00000003264 ged: 2026-008632-1en date du 30/01/2026 ( date création pli)net: 52674,13
-annulation du sinistre 2026 00000003264 a ce jour ( fait le 26/02/2026)</t>
  </si>
  <si>
    <t>I26_017986</t>
  </si>
  <si>
    <t>INCIDENT VALSIN
1) Référence(s) : Client: H03940Z / 88379 / BASSOMPIERRE SEWRIN Dominique 2) Situation attendue : Accord pour la levée de l’incident VALSIN afin de modifier la clause bénéficiaire 3) Situation obtenue : B029-Incident sur ce contrat (VALSIN OMV)</t>
  </si>
  <si>
    <t>I26_018003</t>
  </si>
  <si>
    <t xml:space="preserve">CIRVIE_Brique Fiscale_Ano déclaration PASRAU FEVRIER-26 SOC 02 / Banque 12 =&gt; REJEU PASRAU FEVRIER-261) Référence(s) : PE 24229 FRANCES Elaine : Emissions N°00568293, 00583175, 00597981, 00612928, 00628729, 00638412, 00648202, 00668691, 00678476, 00687723, 00697113 KO / MB_OMVie le 03/03/20262) Situation attendue : 
PE 24229 : Annulation PAS de 1876,10 € au total.
3) Situation obtenue : Absence d’annulation dans CIRVIE et dans la déclaration PASRAU Février-2026
MB_OMvie le 03/03/2026 : Suite à la modification du régime fiscale 2022/2023/2024 du crédirentier N°24229, annulation des arrérages cités en références et création de 11 nouveaux arrérages sans PAS ni PS.
L'annulation des arrérages cités en références n’est pas transmise à notre brique fiscale ( pas dans RTJVPAS au 19/02/2026) or les émissions de remplacement N°00740395 à 00740410 ont été réglées le 19/02/2026.
ANAEL a reçu l'annulation, lors du Nouveau règlement (nouvel arrérage + recouvrement ) or rien n’a été envoyé à destination de la brique fiscal car nouvelles émissions sans PAS ni PS =&gt; ANOMALIE PROGRAMME ASSUREX 
Cependant, Nous voulons régulariser la situation de ces émissions dans la déclaration PASRAU de Février-2026 :
En PJ les corrections attendues de la BFTB02 (voir les champs en "bleu" à créer pour les émissions 00568293 -98, 00583175-98, 00597981-98, 00612928-98, 00628729-98, 00638412-98, 00648202-98, 00668691-98, 00678476-98, 00687723-98, 00697113-98 )
J'ai demandé à la Gestion d'annuler la déclaration PASRAU-Février-26 ce jour 03/03/2026.
Il faudra prévoir de livrer la correction en urgence et de regénérer les traitements de génération de la déclaration PASRAU Février-2026 en production en journée le lendemain de la livraison. </t>
  </si>
  <si>
    <t>BEAUMEL, Morgane</t>
  </si>
  <si>
    <t>I26_018042</t>
  </si>
  <si>
    <t>CIRVIE_Brique Fiscale_Ano déclaration PASRAU Février-26 SOC 02 Banque 04 =&gt; REJEU PASRAU Fév-261) Référence(s) : PE 1869 CUVILLIER Alain : Emission N°00703246, 00712985, 00722471 &amp; PE 6565 LE DOUJET Jean-Pierre: Emission N°00739503 KO / MB_OMVie le 03/03/20262) Situation attendue : 
PE 1869 : Annulation PAS de 1215,15 € pour les émissions N°00703246, 00712985, 00722471
PE 6565 : Annulation PAS de 140,31€ pour l’émission N°00739503
3) Situation obtenue : Absence d’annulation dans CIRVIE et dans la déclaration PASRAU FEVRIER-2026 
MB_OMvie le 03/03/2026 : Suite à la modification du régime fiscale 2025 des crédirentiers, annulation des arrérages cités en références et création de nouveaux arrérages sans PAS ni PS.
L'annulation des arrérages n N°00703246, 00712985, 00722471n’est pas transmise à notre brique fiscale ( pas de RTJVPAS au 16/02/2026 )ni au 06/02/2026 pour l’annulation de l’émission N° 00739503 or les émissions de remplacement n°00740348 0 00740350 &amp; 00740269 ont été réglées respectivement le 17/02/2026 &amp; 09/02/2026.
ANAEL a reçu l'annulation, lors du Nouveau règlement (nouvel arrérage + recouvrement ) or rien n’a été envoyé à destination de la brique fiscal car nouvelles émissions sans PAS ni PS =&gt; ANOMALIE PROGRAMME ASSUREX 
Cependant, Nous voulons régulariser la situation de ces émissions dans la déclaration PASRAU de FEVRIER-2026 :
En PJ les corrections attendues de la BFTB02 (voir les champs en "vert" à créer pour les émissions N°00703246-98, 00712985-98, 00722471-98 &amp; Emission N°00739503-98)</t>
  </si>
  <si>
    <t>I26_018074</t>
  </si>
  <si>
    <t>ANOMALIE RACHAT1) Référence(s) :Secteur : SER I, - N° de sociétaire : 355438E- Outil : CIRVIE, - Type d’acte : rachat partiel- Montant : 20000€N° de contrat : 865622) Situation attendue : saisie d’un rachat partiel3) Situation obtenue : au moment de la saisie du rachat, blocage « B029-Incident sur ce contrat (VALSIN OMV) » (voir écran ci-dessous ) :</t>
  </si>
  <si>
    <t>I26_018081</t>
  </si>
  <si>
    <t>BLOCAGE CIRVIE1) Référence(s) :Numéro de contrat : 106018Numéro GED : 2026-013059-1Numéro sociétaire : F20501A2) Situation attendue : Pourriez- vous lever ce blocage afin que nous puissions faire le nécessaire.3) Situation obtenue : Nous avons reçu le taux pas sous le 25/02/2026 pourtant a ce jour nous ne pouvons pas procéder au rachat du contrat</t>
  </si>
  <si>
    <t>I26_018090</t>
  </si>
  <si>
    <t>CIRVIE : Pb Règlement des commissions courtage (Ecarts BANCO : 98.79 €)
1) Référence(s) :Emetteur : MOACRéférence incident MOAC : I04633Référence incident D&amp;N : Urgence : HAUTEAssigné à : OMVPérimètre :· Application concernée : CIRVIE· Fonction concernée : Courtage · Entités : Sujet : : règlement des commissions courtage Date de survenance : 03/03/2026Date de déclaration : 03/03/2026 2) Situation attendue : Cohérence entre les bandes de virement et le flux comptable 3) Situation obtenue : Ecarts BANCO : 98.79 €CRE relatif au règlement de commission du courtier 20008344 non présents dans le fichier EVTB03Dans la bande de virement , il manque l’adresse et le code pays</t>
  </si>
  <si>
    <t>I26_018126</t>
  </si>
  <si>
    <t>Message : A1P1CV2406Msg_curl : Le Job A1P1CV2406 est en etat JOBFAILURE sur SMASPRO1 le 04/03/2026 a 00:44:58. RC=20Date de creation : 04/03/2026 00:44:58Host : SMASPRO1</t>
  </si>
  <si>
    <t>I26_018193</t>
  </si>
  <si>
    <t>CIRVIE - DEMANDE VERIFICATION FISCALITE 
1) Référence(s) : Numéro de sociétaire : 300770B / Numéro de contrat : 003007706921000 / Numéro ES : 5340 / SINISTRE : 2025 000000308842) Situation attendue : Pourriez vous vérifier les montants soumis à l’article 990I s’il vous plait ?3) Situation obtenue : Le bénéficiaire conteste les montants  du 990I. Les fonds ont été réinvestis sur le contrat du bénéficiaire 4634. PO26 144 346.21€ pour ce contrat. SV0201 145250€</t>
  </si>
  <si>
    <t>I26_018385</t>
  </si>
  <si>
    <t xml:space="preserve">DECES - Post'it DEMENBREMENT
1) Référence(s) : Défunte: Numéro de sociétaire : 434629U / Numéro de contrats : 747 et 123748 // Usufruitier: Numéro de sociétaire : 237265Y / Numéro de contrat : 143957 
2) Situation attendue : Merci d’y poser un post’it démembrement. 3) Situation obtenue : Réemplois des capitaux décès, sur le contrat de l’usufruitier. </t>
  </si>
  <si>
    <t>I26_018387</t>
  </si>
  <si>
    <t>CIRVIE - Rejet bande de prélèvement
1) Référence(s) : V. AUDREN le 04/03/20262) Situation attendue : La bande de prélèvement a été modifiée manuellement et déposée dans le répertoire S:\Transfert\S021\rejeu_CIRVIE\prl
Merci de la mettre à disposition de la comptabilité et d'ajouter la RUM VIE47695-20260226 pour le paiement de la quittance 7117295, numéro de paiement 000000006742112
3) Situation obtenue : Rejet de la bande de prélèvement PRELEVEMENTS_AUTO_CIRVIE_HP_20260228051646.XML car la RUM n'a pas été générée pour le contrat 000000000047695 et le client a fait un verment sur les SEL.</t>
  </si>
  <si>
    <t>I26_018501</t>
  </si>
  <si>
    <t>INCIDENT VALSIN
1) Référence(s) : Numéro de sociétaire : 301108N / Numéro de contrat : 18962) Situation attendue : Régler le contrat à réception des pièces des bénéficiaires.3) Situation obtenue : Post it « valsin omv » en PO25. Merci de bien vouloir les enlever.</t>
  </si>
  <si>
    <t>I26_018565</t>
  </si>
  <si>
    <t>CIRVIE - Avance 010000000004710
1) Référence(s) : MOAC le 05/03/20262) Situation attendue : Demande de note de perte à la gestion + régularisation comptable manuelle3) Situation obtenue : Avance 010000000004710Pour cette avance, en comptabilité nous avons capital à rembourser : 4801.37 € et intérêt à rembourser : - 4702.46 € ( montant négatif car CIRVIE nous a transmis une annulation d'intérêt de 4748,63 au mois de juin)
Avance 010000000004096 prorogée en date du 17/02/2018 par l'avance 010000000004710Rachat total du contrat 009660316910000 saisi le 27/02/2018 en date du 13/02/2018
L'avance 010000000004710 dans CIRVIE est soldée</t>
  </si>
  <si>
    <t>I26_018577</t>
  </si>
  <si>
    <t>Installation de site centralMadame Sayeb nous demande d'installer son site centrale.Lancement de l'installation.</t>
  </si>
  <si>
    <t>SAYEB, Lisa</t>
  </si>
  <si>
    <t>I26_018586</t>
  </si>
  <si>
    <t xml:space="preserve">IMPOSSIBLE D'ACCEDER AU PE01 
1) Référence : 
2) Situation attendue : Pouvoir accéder a PE01
3) Situation obtenue: l'utilisatrice nous informe qu'elle ne peut pas accéder au PE01 car celui n'apparait plus dans la liste depuis qu'elle à son nouveau poste (voir capture)
 </t>
  </si>
  <si>
    <t>AUDIN, Lea</t>
  </si>
  <si>
    <t>I26_018727</t>
  </si>
  <si>
    <t>CIRVIE - PROBLEME SUR UN BLOCAGE CIRVIE QUI N'EXISTE PLUS
1) Référence(s) : Réf : N° Sociétaire : 246743 /N° de contrat : 005093200000577 / Sinistre           : 2024 000000481232) Situation attendue : Déblocage de la situation.3) Situation obtenue : L'utilisatrice a validé un règlement d’IJ au dessus de 5000€ (5284,83 €) et elle n’aurais pas du pouvoir le faire car mon pouvoir d’ordonnancement est de 5000€. Elle constate que le règlement n’est pas effectué réellement car pas de date de règlement qui apparaît.(le règlement de 4878.12€ par contre doit être validé par la compta, une tâche ged est chez eux en attente).</t>
  </si>
  <si>
    <t>I26_018790</t>
  </si>
  <si>
    <t>CIRVIE - Anomalie taux PAS personnalisé
1) Référence(s) : OMV le 05/03/2026 - lié au I26_0180812) Situation attendue : Correction du programme d'intégration des taux PAS personnalisés3) Situation obtenue : Le batch d’intégration des taux n’enregistre pas le NIR reçu par la DGFIP dans le fichier des taux BFTB03 à tort (il le fait bien au niveau de la personne dans BFTB01). Or un contrôle a été ajouté en 2024 avec égalité sur le NIR dans BFTB03 et celui de la personne dans la base personne CIRVIE</t>
  </si>
  <si>
    <t>I26_018794</t>
  </si>
  <si>
    <t>Première utilisation, pas de mot de passe1) Référence(s) : A24390, Vie2) Situation attendue : Avoir accès à vie3) Situation obtenue : L'utilisatrice n'a pas de mot de passe (première utilisation) et le mot de passe par défaut ne fonctionne pas.</t>
  </si>
  <si>
    <t>I26_018810</t>
  </si>
  <si>
    <t>BLOCAGE PF5Mme DORR nous appelle car sur Cirvie elle rencontre un blocage PF5.</t>
  </si>
  <si>
    <t>I26_018936</t>
  </si>
  <si>
    <t>CIRVIE - Frais sur FOURGOUS
1) Référence(s) : Numéro de contrat : 000000000145638 / Numéro GED : 2026-006969-2 / Numéro sociétaire : 538462S/ Sinistre : 2026 000000027502) Situation attendue : Pourriez- vous forcer les frais à 0% ou leurs indiquer la procédure a suivre pour rectifier ce dossier.3) Situation obtenue :L'utilisatrice a effectué un transfert  fourgous du prestige 003500366934001 après le changement de fiscalité de sociétaire ,elle a saisie sous po0520 le bati epargne n° 000000000145638. A notre surprise les frais 0% ne se sont  automatique.</t>
  </si>
  <si>
    <t>I26_018954</t>
  </si>
  <si>
    <t>I26_019017</t>
  </si>
  <si>
    <t>GESTION SINISTRE - SINISTRE A SUPPRIMER
1) Références : Sociétaire BERTHELOT ENTREPRISE SAS n°069497T - BAVMS n°000694974919000
2) Situation attendue : Suite à la réception du chèque le 19/01/2026 et à son encaissement, le sinistre 2025-30873 doit être annulé. Je souhaiterai pouvoir annuler le sinistre n°2025-30873 en SV0240.
3) Situation obtenue : L'utilisatrice nous envoie ce mail : "Lorsque je souhaite annuler le sinistre n°2025-30873 en SV0240 un message bloquant apparait indiquant « 7892-Le sinistre n'est pas le dernier saisi ». Le sinistre avait été saisi en mode de règlement « 26 » car il venait en remplacement du n°2025-17498 qui était un doublon. Le sociétaire nous a remboursé les fonds et nous devons maintenant annuler ce sinistre qui n’a plus lieu d’être."</t>
  </si>
  <si>
    <t>I26_019020</t>
  </si>
  <si>
    <t>CIRVIE - SSO KO ET CONNEXION IMPOSSIBLE
L'utilisatrice nous envoie un mail pour dire que son SSO est K.O. et l'empêche de se connecter à CIRVIE.</t>
  </si>
  <si>
    <t>KWAMBAMBA, Jessica</t>
  </si>
  <si>
    <t>I26_019042</t>
  </si>
  <si>
    <t>Le Job XZP1SC3052 est en etat JOBFAILURE sur x24812pa le 06/03/2026 a 06:20:04. RC=3</t>
  </si>
  <si>
    <t>I26_019212</t>
  </si>
  <si>
    <t>I26_019213</t>
  </si>
  <si>
    <t xml:space="preserve">PERTE DE MOT DE PASSE APPLICATION VIE 
1) Référence : 
2) Situation attendue : Réinitialiser le mot de passe cirvie
3) Situation obtenue: l'utilisatrice nous informe qu'elle ne connait plus sont mot de passe applications vie et que le mot de passe par défaut (tester avec le svp) ne fonctionne pas également
 </t>
  </si>
  <si>
    <t>I26_019331</t>
  </si>
  <si>
    <t>ACCES CIRVIEL'utilisatrice ne parvient plus à se connecter à CIRVIE.</t>
  </si>
  <si>
    <t>VERSTRAETE, Amandine</t>
  </si>
  <si>
    <t>I26_019396</t>
  </si>
  <si>
    <t xml:space="preserve">CIRVIE - Anomalie fichier CRS OCDE RECALCITRANTS
1) Référence(s) : OMV le 06/03/20262) Situation attendue : Correction des anomalies et rejeu de la déclaration3) Situation obtenue : Rejet total de la déclaration CRS OCDE des récalcitrants par la DGFIP.
Motif : Le fichier n'est pas un fichier conforme au schéma xsd.&lt;br&gt; cvc-complex-type.2.4.a: Un contenu invalide a ete detecte debutant par l'element 'ns1:CPT009'. CPT010 est attendu.&lt;br&gt; 
En analysant le fichier, il s'avère qu'il y a 2 problèmes :
- pour un même assuré, présence de la balise CPT009 en double et absence de la balise CPT010
- pour un même assuré, présence d'une balise CPT010 mais pas de balise CPT009
Cf exemple en pièce jointe
 </t>
  </si>
  <si>
    <t>I26_019408</t>
  </si>
  <si>
    <t xml:space="preserve">Changement de la période indemnisée pour les sinistres suivants
1) Référence : voir capture dans le mail
2) Situation attendue : changer la période indemnisée
3) Situation obtenue: Mail reçu : Serait-il possible de modifier les périodes indemnisées sur Cirvie pour les sinistres suivants :
1- 2025 00000012479 remplacer la période du 20/03/2025 au 16/10/2025 par la période du 16/10/2025 au 16/12/2025 pour un montant de 2943.14€(le montant reste inchangé
2- 2025 00000016366 remplacer la période du 05/02/2025 au 29/10/2025 par la période du 29/10/2025 au 26/12/2025 pour un montant de 980.20€ (le montant reste inchangé )
3- 2025 00000034963 remplacer la période du 04/08/2025 au 07/08/2025 par la période du 07/08/2025 au 31/10/2025 pour un montant de 18085.80€ (le montant reste inchangé )
4- 2025 00000026996 remplacer la période du 13/01/2025 au 30/10/2025 par la période du 30/10/2025 au 26/12/2025 pour un montant de 1904.72€ (le montant reste inchangé )
5- 2025 00000034064 remplacer la période du 30/06/2025 au 22/11/2025 par la période du 22/11/2025 au 22/12/2025 pour un montant de 396.80€ (le montant reste inchangé )
6- 2025 00000016359 remplacer la période du 28/03/2025 au 14/11/2025 par la période du 14/11/2025 au 24/12/2025 pour un montant de 1328.40€ (le montant reste inchangé )
 </t>
  </si>
  <si>
    <t>I26_019496</t>
  </si>
  <si>
    <t xml:space="preserve">Support suite blocage rachat 7886-Solde de la période précédente non passé
1) Référence : N° de sociétaire : L27266M - Outil : CIRVIE - Type d’acte : rachat partiel - Montant : 134000€ - N° de contrat : 145979
2) Situation attendue : saisie d’un rachat partiel
3) Situation obtenue: au moment de la saisie du rachat, blocage « 7886-Solde de la période précédente non passé» (voir écran ci-dessous ) : Il y avait des UC en cours de valorisation d’où ma première attente mais normalement au 05/03/2026 : 
05/03/2026 02/03/2026 BAO 01 Versement 1 Montant 18626,57000 005/03/2026 02/03/2026 BRR 01 Versement 1 Montant 16375,01000 005/03/2026 02/03/2026 Z86 01 Versement 1 Montant 14123,44000 005/03/2026 02/03/2026 Z89 01 Versement 1 Montant 10643,76000 005/03/2026 02/03/2026 Z98 01 Versement 1 Montant 4298,44000 005/03/2026 02/03/2026 Z99 01 Versement 1 Montant 8392,19000 0
Malgré l’attente de la valo, je tente de passer le rachat au 06/03/2026 une fois cette dernière passée mais je suis toujours bloqué pour le même motif.
 </t>
  </si>
  <si>
    <t>I26_019557</t>
  </si>
  <si>
    <t xml:space="preserve">IMPOSSIBLE D'ANNULER DES QUITTANCES
1) Référence(s) : Voir Documents | Quittances concernées : 4839326 - 4897924 - 4921334 - 5189253
2) Situation attendue : Que les quittances soient annulées.
3) Situation obtenue : Mme VU nous fait un mail concernant des quittances sur Cirvie qu'elle ne peut pas annuler car celles-ci sont trop anciennes.
 </t>
  </si>
  <si>
    <t>I26_019688</t>
  </si>
  <si>
    <t>Cirvie - Contrats avec 2 avenants en situation ouverte
1) Référence(s) : Police 0052525909250002) Situation attendue : clôture de l'avenant 9753) Situation obtenue : CSTA à '0002' pour les avenants 975 et 973
Correction données et voir ce qui s'est passé sur le contrat.</t>
  </si>
  <si>
    <t>I26_019706</t>
  </si>
  <si>
    <t xml:space="preserve">IMPOSSIBLE D'ACCEDER A L'APPLICATION VIE 
1) Référence :
2) Situation attendue : Réinitialiser le mot de passe vie 
3) Situation obtenue: l'utilisatrice nous informe que le mot de passe par défaut pour acceder à l'application vie ne fonctionne pas 
 </t>
  </si>
  <si>
    <t>I26_019801</t>
  </si>
  <si>
    <t xml:space="preserve">INCIDENT CIRVIE1) Référence(s) : Assuré : 542061A 2) Situation attendue : Correction de l'anomalie.3) Situation obtenue : Mail reçu :L’instance n° 26 741507 était dédiée à une affaire nouvelle de PER IN par transfert externe. Toutefois lors de l’enregistrement, il y a eu une erreur et j’ai dû passer l’AFN en sans effet, pour la refaire. A présent, l’instance n’est plus accessible (malgré le passage en sans effet du contrat 146049) Pouvez-vous m’aider ? </t>
  </si>
  <si>
    <t>I26_019812</t>
  </si>
  <si>
    <t>Problème de Cirvie Pre prod absent1) Référence(s) : S25_0048402) Situation attendue : Avoir Cirvie pre prod3) Situation obtenue : L'utilisatrice nous informe qu'elle n'a pas pre prod (voir pj)</t>
  </si>
  <si>
    <t>I26_019897</t>
  </si>
  <si>
    <t>Blocage PF5L'utilisatrice nous informe qu'elle est bloquer sur cirvie</t>
  </si>
  <si>
    <t>I26_019984</t>
  </si>
  <si>
    <t xml:space="preserve">Lenteur maquette Santé V2.8 / Flux de santé
1) Référence : 
2) Situation attendue : Ne plus avoir de lenteur 
3) Situation obtenue: Mail reçu : Je souhaiterai vous informer de la lenteur du formatage et contrôles de la maquette Santé V2.8 lors du dépôt d’un flux de santé. En effet, cela peut aller jusqu’à plus d’une heure d’attente selon le montant du remboursement (plus souvent quand un flux dépasse 800 000 €). Le souci c’est que pendant le formatage, je n’ai plus accès à mon PC, tout se fige, donc je n’ai pas le choix d’attendre que le contrôle se termine pour continuer à travailler. Généralement les gros flux je les passe en fin de journée pour ne pas bloquer l’activité.
Pouvez-vous remédier à ce problème ?
Voici le chemin de la maquette :
S:\COURTAGE VIE\EXTRACTION_CIRVIE
 </t>
  </si>
  <si>
    <t>I26_020008</t>
  </si>
  <si>
    <t>CONTRAT FERMER MALENCONTREUSEMENT
1) Référence(s) : Contrat: 190501100001222 / Client: 371136 MICIELI Christophe2) Situation attendue : Réouverture du contrat afin de pouvoir saisir un décès.3) Situation obtenue : Le contrat 190501100001222 est résilié au 31/12/2025. Impossible de saisir une prestation décès</t>
  </si>
  <si>
    <t>I26_020058</t>
  </si>
  <si>
    <t>ANOMALIE RACHAT - VALSIN1) Référence(s) :- N° de sociétaire : 435005Q- Outil : CIRVIE, - Type d’acte : modification de profil de gestionN° de contrat : 843842) Situation attendue : saisie d’une modification de profil de gestion3) Situation obtenue : au moment de la saisie, blocage « B029-Incident sur ce contrat (VALSIN OMV) » (voir écran ci-dessous ) :</t>
  </si>
  <si>
    <t>I26_020089</t>
  </si>
  <si>
    <t>CI - VIE-CIRVIE VIE</t>
  </si>
  <si>
    <t xml:space="preserve"> Le Job A1P1CI8020 est en etat JOBFAILURE sur SMASPRO1 le 09/03/2026 a 23:33:01. RC=20 </t>
  </si>
  <si>
    <t>I26_020176</t>
  </si>
  <si>
    <t>CIRVIE – B029-Incident sur le contrat n° 3282226924000 (VALSIN OMV)
1) Référence(s) : Numéro de contrat : 32822269240002) Situation attendue : Ne pas avoir de message Incident VALSIN OMV.3) Situation obtenue : L’incident « B029 – Incident sur ce contrat (VALSIN OMV) » se produit sur le contrat n° 3282226924000</t>
  </si>
  <si>
    <t>I26_020178</t>
  </si>
  <si>
    <t>Cotation NC1 - Rachat - Délai valorisation
1) Référence(s) : contrat BATI Epargne n°000000000006679 de MR LEHMANS Alain2) Situation attendue : communiquer la date de valorisation du rachat3) Situation obtenue : Mme BAILLY a réalisé un rachat sur ce contrat hier, le BD voudrait annoncer un délai à son sociétaire.</t>
  </si>
  <si>
    <t>I26_020181</t>
  </si>
  <si>
    <t>CIRVIE – B029-Incident sur le contrat n° 002306126924000 (VALSIN OMV)
1) Référence(s) : Numéro de contrat : 0023061269240002) Situation attendue : Ne pas avoir de message Incident VALSIN OMV.3) Situation obtenue : L’incident « B029 – Incident sur ce contrat (VALSIN OMV) » se produit sur le contrat n° 002306126924000</t>
  </si>
  <si>
    <t>I26_020199</t>
  </si>
  <si>
    <t>I26_020239</t>
  </si>
  <si>
    <t>IMPOSSIBLE D'ACCEDER A LA FICHE MAIL SUR CIRVIEMme MATIAS nous appelle car elle n'arrive pas à accéder à la page de modification d'adresse mail d'un compte client.</t>
  </si>
  <si>
    <t>MATIAS, Regine</t>
  </si>
  <si>
    <t>I26_020265</t>
  </si>
  <si>
    <t>I26_020421</t>
  </si>
  <si>
    <t xml:space="preserve">MOT DE PASSE VIE NON CONNU 
l'utilisatrice nous informe qu'elle ne connais pas le mot de passe de l'application vie </t>
  </si>
  <si>
    <t>VAZ GONCALVES, Elisabeth</t>
  </si>
  <si>
    <t>I26_020447</t>
  </si>
  <si>
    <t xml:space="preserve">Incident VALSIN
1) Référence(s) : sociétaire 278113J VOISIN PHILIPPE // contrat 86919 2) Situation attendue : accord pour la levée de l’incident VALSIN pour faire un rachat partiel 3) Situation obtenue : B029 – Incident sur le contrat </t>
  </si>
  <si>
    <t>I26_020504</t>
  </si>
  <si>
    <t>Versement a recycler N° 536895B
1) Références : Secteur : SER I - Outil : CIRVIE - Type du sinistre : versement - N° SOCIETAIRE : 435097C - N° de contrat : 87170 - Montant du versement : 40 000 € - Date d'effet du versement : 09/03/20262) Situation attendue : Pouvoir valider et clôturer la demande3) Situation obtenue : Message d'incident sur ce contrat à recycler,</t>
  </si>
  <si>
    <t>I26_020516</t>
  </si>
  <si>
    <t xml:space="preserve">annule et remplace : Versement a recycler N°435097C
1) Références : Secteur : SER I - Outil : CIRVIE - Type du sinistre : versement - N° SOCIETAIRE : 435097C - N° de contrat : 87170 - Montant du versement : 40 000 € - Date d'effet du versement : 09/03/20262) Situation attendue : Pouvoir valider et clôturer la demande3) Situation obtenue : Message d'incident sur ce contrat à recycler, </t>
  </si>
  <si>
    <t>I26_020522</t>
  </si>
  <si>
    <t>Décès - Incident VALSIN
1) Référence(s) : TOISON contrat 961952) Situation attendue : vérifier et retirer le post it si c’est ok3) Situation obtenue : incident VALSIN</t>
  </si>
  <si>
    <t>I26_020570</t>
  </si>
  <si>
    <t>Le Job XZP1SC27TB est en etat JOBFAILURE sur x24812pa le 11/03/2026 a 02:18:53. RC=1
ouvrir un incident
mv: cannot rename /sma/cd/p1/data/pw/ESAQDCQ1_* to /sma/pw/p1/data/SrcFiles/SDC_INC/File_PROBTP_ICSVIE_SOCIETAIRE.TXT: No such file or directory</t>
  </si>
  <si>
    <t>I26_020704</t>
  </si>
  <si>
    <t>CIRVIE - PROBLEME CONNEXION VIE
L'utilisatrice nous contacte car le mot de passe VIE est refusé.</t>
  </si>
  <si>
    <t>I26_020854</t>
  </si>
  <si>
    <t>CIRVIE - BLOCAGE VALSIN
1) Référence(s) : 2026-016557-6 / SC : 284470M / Contrat : 000000000090976
2) Situation attendue : Déblocage Valsin.3) Situation obtenue : L'utilisateur a bloqué pour cause incident VALSIN, pour une mise en place de gestion déléguée pour Mme POURTIER.</t>
  </si>
  <si>
    <t>I26_020890</t>
  </si>
  <si>
    <t>BRUN, Fabienne</t>
  </si>
  <si>
    <t>I26_020913</t>
  </si>
  <si>
    <t>CIRVIE - Bandes de virement rejetées par HCBC
1) Référence(s) : V. AUDREN le 11/03/20262) Situation attendue : Les 2 bandes de virements ont été mises dans le répertoire S:\Transfert\S021\rejeu_CIRVIE\vir
Merci de les mettre à disposition de la comptabilité3) Situation obtenue : 2 bandes de virement ont été rejetées par HSBC. Il n’y a aucune erreur dans la structure des fichiers. HSC n’a pas reconnu la 3SKey (certificat de signature) de Valérie LANCELIN.
VIREMENTS_CT_CIRVIE_PREVOYANCE_20260307013735.XML
VIREMENTS_CT_CIRVIE_SANTE_20260307013732.XML</t>
  </si>
  <si>
    <t>I26_020915</t>
  </si>
  <si>
    <t>CIRVIE - PROBLEME REMBOURSEMENT INDU
1) Référence(s) : Sinistre IJ 2026 00000002023 
2) Situation attendue : Merci de faire le nécessaire afin de pouvoir annuler les 2 lignes réglées sur le sinistre IJ cité ci-dessus
B053 IJ nettes 01/02/2026 07/02/2026 442,40 LOISY GAEL 29 RB053 IJ nettes 10/01/2026 31/01/2026 1390,40 LOISY GAEL 29 R
La gestion devra procéder à la ressaisie d'une ligne de règlement pour la période du 10/01/2026 AU 18/01/2026
3) Situation obtenue : Mail reçu : "Bonjour, Merci d’ouvrir un support pour un le règlement d’un indu d’un montant de 1264€ suite à un trop versement sur un sinistre IJ. Merci de me tenir informé du traitement de la demande."</t>
  </si>
  <si>
    <t>I26_020919</t>
  </si>
  <si>
    <t xml:space="preserve">SOC H50491P - MARTIN Éric
1) Référence : Sinistre IJ 2021 00000025861
2) Situation attendue : Communiquer les informations de modalité
3) Situation obtenue: Mail Reçu : Suite à un remboursement d’un indu mensuel, merci d’ouvrir un support.
Montant : 295,46€ / Sinistre IJ
Merci de me tenir informé de la bonne pris en charge, et de me communiquer les modalités notamment pour un remboursement d’un indu sur plusieurs mois.
 </t>
  </si>
  <si>
    <t>I26_020999</t>
  </si>
  <si>
    <t xml:space="preserve">rachat en statut validation
1) Référence : - Secteur : SER I - Outil : CIRVIE - Type du sinistre : Rachat partiel - Numéro de sociétaire: 061845X- N° de contrat: 8306 - Montant du rachat : 22 000 € - Date d'effet: 19/02/2026
2) Situation attendue : Le sociétaire effectue un rachat partiel de son contrat pour ré emploi sur les contrats 94115 et 94113
3) Situation obtenue: Le sinistre est toujours en statut validation
 </t>
  </si>
  <si>
    <t>I26_021046</t>
  </si>
  <si>
    <t>Question sur le montant net1) Référence(s) : N° contrat 000000000127709, Mail en PJ2) Situation attendue : Avoir le montant net pour le rachat. L’épargne constituée à ce jour est de 105 821,08 €.3) Situation obtenue : Le sociétaire souhaite faire un rachat partiel de 103 000, 00 € net avec la possibilité de conserver son contrat (PM à 750,00 €).Particularité : résidence fiscale : BeninVoir mail en PJ</t>
  </si>
  <si>
    <t>I26_021100</t>
  </si>
  <si>
    <t>CIRVIE PLANTÉMme WIRTHEIM nous appelle car sa session B sur CIRVIE est planté.</t>
  </si>
  <si>
    <t>I26_021120</t>
  </si>
  <si>
    <t xml:space="preserve">CIRVIE - ECRAN NOIR
1) Référence :
2) Situation attendue : Déblocage de CIRVIE
3) Situation obtenue : Ecran noir sur CIRVIE
 </t>
  </si>
  <si>
    <t>BERGEZ CASALOU, Terence</t>
  </si>
  <si>
    <t>I26_021161</t>
  </si>
  <si>
    <t>CIRVIE - Découpage des lots RCAN PER ENTREPRISE
1) Référence(s) : OMV le 12/03/20262) Situation attendue : Les RCAN des affiliés doivent être découpés par réseau distributeur. A traiter pour l'année prochaine.3) Situation obtenue : Lors de la génération des RCAN PER ENTREPRISE, les lots relatifs aux relevés des affiliés ne sont pas découpés par réseau distributeur. Il sont tous affectés à SMAVIE.</t>
  </si>
  <si>
    <t>I26_021238</t>
  </si>
  <si>
    <t>CIRVIE - modification bande virement commissions courtage
1) Référence(s) : V. AUDREN le 12/03/20262) Situation attendue : Bande de virement modifiée manuellement et mise dans le répertoire : S:\Transfert\S021\rejeu_CIRVIE\vir
Merci de la mettre à disposition de la comptabilité.3) Situation obtenue : Absence de l'adresse et du pays dans la bande de virement des commissions courtage VIRE02_999_20260303040014.XML pour le courtier 20008344. La comptabilité a rejeté la bande de virement avant transmission à HSBC.
Analyse de cette anomalie a été demandé dans le cadre du D&amp;N I26_018090 créé le 03/03/2026.</t>
  </si>
  <si>
    <t>I26_021253</t>
  </si>
  <si>
    <t xml:space="preserve">Problème édition relevé via TX05  - MME PAGNIER - SC 481684F
1) Référence : 
2) Situation attendue : Répondre au interrogation de l'utilisatrice 
3) Situation obtenue: Suite au remboursement de l’avance n° 010000000006027, je dois éditer le relevé en TX05.J’ai essayé toutes les dates entre le 27/02 (date d’effet du remboursement de la saisie) et le jour de validation 11/03/2026, le message suivant apparait à chaque essai  (voir capture mail)
 </t>
  </si>
  <si>
    <t>I26_021261</t>
  </si>
  <si>
    <t>CIRVIE - SINISTRE EN STATUT VALIDATION
1) Référence(s) : N° de contrat : 84996 / N° du sinistre : 2026 00000004093 / Date de rachat : 25/02/2026 / Régime  / Fiscal: assurance vie / Choix d’imposition : PFL / Type du sinistre : rachat partiel : 16 000,00€ au prorata des UC (gestion déléguée)
2) Situation attendue : Passer le rachat partiel sur un statut « réglé » pour réinvestissement sur contrat 85017. 3) Situation obtenue : Sinistre en statut « VALIDATION »</t>
  </si>
  <si>
    <t>I26_021316</t>
  </si>
  <si>
    <t>CIRVIE - Bordereaux commissions erronés
1) Référence(s) : V. MUNTANER le 12/03/20262) Situation attendue : Analyse et correction afin d'avoir un bordereau en adéquation avec CIRVIE et la bande de virement.3) Situation obtenue : Les bordereaux de commissions générés en début de mois et déposés dans le répertoire S:\COURTAGE VIE\COMMISSIONS présentent des anomalies. Les montants sont doublés sur certaines lignes. De fait, la DT ne peut pas procéder à la validation de la bande de virement des commissions courtage.
Exemple : Courtier 07000665, Contrat 190601100004710, quittance 000000007115796 Montant de commission dans le bordereau est de 9,54€ alors que le montant dans CIRVIE est de 4,77€
Pour ce courtier, on a un écart entre le bordereau et la bande de virement et CIRVIE de 2 061,91€
Somme bordereau = 96 641,66€
Somme CIRVIE et Bande de virement = 94 579,75€
cf pièce jointe, tous les écarts sont en vert</t>
  </si>
  <si>
    <t>MUNTANER CAZENAVE, Vanessa</t>
  </si>
  <si>
    <t>I26_021325</t>
  </si>
  <si>
    <t>CONNEXION A CIRVIE PPROD IMPOSSIBLE
1) Référence(s) : +331405974582) Situation attendue : Pouvoir se connecter a cirvie PPROD.3) Situation obtenue : l'utilisatrice n'arrive pas a se connecter à cirvie au premier mot de passe sa lui mets que l'utilisateur n'existe pas ou le mot de passe est incorrect, on a essayé de réinitialiser le mot de passe mais cela ne fonctionne pas.</t>
  </si>
  <si>
    <t>I26_021342</t>
  </si>
  <si>
    <t>I26_021487</t>
  </si>
  <si>
    <t>CIRVIE - anomalie EDB940
1) Référence(s) : OMV le 13/03/20262) Situation attendue : 
000000100003926 doit avoir
Situation : 0003 ANNULEE
Motif sit. : 0036 DECES
à l'image de l'affiliation 0000001000055093) Situation obtenue : Anomalie EDB940
|01|POTB32|DATA   |99|000000100003926|               |CSTA OU MTF KO                  |</t>
  </si>
  <si>
    <t>I26_021592</t>
  </si>
  <si>
    <t>DECES - INCIDENT VALSIN - Succession FERREIRA BERNADETTE -  SC 405169P - Contrat 93215 
1) Référence(s) : Numéro de sociétaire : 405169P - FERREIRA BERNADETTE N° de contrat: 93215  Type contrat : BATIépargne2) Situation attendue : Consultation UC50 – consultation PO253) Situation obtenue : msg bloquant - B029-Incident sur ce contrat (VALSIN OMV)</t>
  </si>
  <si>
    <t>I26_021626</t>
  </si>
  <si>
    <t xml:space="preserve">2025-070427-1 439360P LAPORTE
1) Référence : 
2) Situation attendue : Répondre au interrogation de l'utilisatrice 
3) Situation obtenue: Mail reçu : nous recevons ce mail de la fille de Mme LAPORTE :Suite à une visite à notre notaire ce matin pour la succession de ma mère. Il est surpris que dans le document du 26 janvier 2026, au dos, le montant du capital décès est de 130696,36 euro alors que celui  marqué sur l’abattement est mentionné pour 130076.80 euro.Il se demande si ce n’est pas une erreur de frappe.Pouvez vous répondre à cette question et si erreur rééditer le document svp? merci par avance,cdlt
 </t>
  </si>
  <si>
    <t>HERAULT, Sonia</t>
  </si>
  <si>
    <t>I26_021646</t>
  </si>
  <si>
    <t>CIRVIE – CR11 KO Fonctionnel Déphasage CIRVIE/ZC
1) Référence(s) : - Secteur : SER I / Outil : CIRVIE / Type : RACHAT TOTAL / N° SOC 396227C / Ctt : 981502) Situation attendue : Saisie en SV0205 l’opération.3) Situation obtenue :  Au moment de la finalisation de la saisie du RACHAT TOTAL en SV0205 apparaît : CR11 KO Fonctionnel Déphasage CIRVIE/ZC, lui indiquer la marche à suivre afin d’enregistrer l’opération sans qu’une anomalie apparaissent par la suite.</t>
  </si>
  <si>
    <t>I26_021711</t>
  </si>
  <si>
    <t>CIRVIE - BLOCAGE Modification d’un contrat Bati épargne
1) Référence(s) : N° de contrat : 143651 / Date d’effet : 03/09/2025 / Régime Fiscal: assurance vie passage à la fiscalité HANDICAP / SEBASTIEN LABLANCHE / SC C78107R / FISCALITE HAND1) Situation attendue : Passer la fiscalité HAND si possible à la date de souscription 03.09.20252) Situation obtenue : 1134 Dt. Doit être &gt; ou = à date début de police + avenant bloquant de VL (décembre 2025)</t>
  </si>
  <si>
    <t>I26_021750</t>
  </si>
  <si>
    <t>ERREUR DE SAISIE SUR LA GP15
1) Référence(s) : 069873B / BAV MS – 0006987349190002) Situation attendue : Saisir le VL avec les frais dérogés.3) Situation obtenue : L'utilisatrice souhaite annuler un VL de 15ke saisi le 03/02/2026, suite à la réception d’un accord dérogatoire post-saisie pour les frais sur versements. Lorsque qu'elle saisi le GP15, le message d’erreur apparait. Effectivement sous UC51, la PM est inférieure à 15ke.</t>
  </si>
  <si>
    <t>I26_021984</t>
  </si>
  <si>
    <t xml:space="preserve">IMPOSSIBLE D'ACCEDER A CIRVIE
1) Référence(s) : -----
2) Situation attendue : Pouvoir accéder à CIRVIE.
3) Situation obtenue : Mme BRAJON nous appelle car elle ne peut pas accéder à CIRVIE suite à son changement de mot de passe, cela lui dit au lancement que le lecteur P: n'est pas trouvé.
 </t>
  </si>
  <si>
    <t>I26_022071</t>
  </si>
  <si>
    <t>CIRVIE - Blocage fiche LCB-FT
1) Référence(s) : - Type du sinistre : Rachat programmé  / - N° SOCIETAIRE : 322911G / - N° de contrat : 145119 / - Montant du Rachat :  8 200 € / - Date d'effet du plan  : 01/10/2026
2) Situation attendue : Déblocage fiche LCBF-FT opération par opération . 3) Situation obtenue : Message d'incident sur ce contrat : j’ai sollicité le pôle LCB-FT afin de lever le blocage. Le pôle a indiqué avoir débloqué l’opération de rachat programmé. Cependant, au moment de procéder au traitement de l’opération, le blocage était toujours présent dans l’outil et empêchait la réalisation du rachat programmé. Il semble que le pole LCB-FT a procédé au déblocage complet de la fiche pour permettre le traitement , ce qui n’est pas conforme au fonctionnement attendu , le déblocage devant normalement être réalisé opération par opération.</t>
  </si>
  <si>
    <t>I26_022153</t>
  </si>
  <si>
    <t>CIRVIE NE SE LANCE PASM. PEDROSA nous appelle car il ne peut pas accéder à CIRVIE cela lui affiche qu'il n'y a pas de session lié.</t>
  </si>
  <si>
    <t>PEDROSA, Cyril</t>
  </si>
  <si>
    <t>I26_022180</t>
  </si>
  <si>
    <t>CIRVIE - BLOCAGE PF5
L'utilisatrice appelle car son Cirvie est en blocage PF5.</t>
  </si>
  <si>
    <t>I26_022190</t>
  </si>
  <si>
    <t xml:space="preserve">AMX R-2026-03749 M NADEAU DOMINIQUE C51426R CONTRAT 77828
1) Référence :
2) Situation attendue : Avoir le document de généré
3) Situation obtenue: Mail reçu : Nous avons reçu un AMX du bd concernant le certificat de réduction d’impôts relative aux primes d’assurance pour l’année 2025.
Monsieur Nadeau Dominique a réalisé un versement de 2 000 € le 30.12.2005.
Mais aucun document n’a été généré sous ADOCVie.
Sociétaire : C51426RContrat : 77828 Support : ADOCVie.
 </t>
  </si>
  <si>
    <t>HENRY, Isabelle</t>
  </si>
  <si>
    <t>I26_022289</t>
  </si>
  <si>
    <t xml:space="preserve">Le Job A1P1CV0140 est en etat JOBFAILURE sur SMASPRO1 le 17/03/2026 a 02:00:51. RC=20
Recovery Général verif Cirvie A1P1CI9912 ok mais je ne vois pas de A1P1CI0212 qui s'est lancé derrière.
Je force le Job pour enchainer la suite </t>
  </si>
  <si>
    <t>I26_022396</t>
  </si>
  <si>
    <t xml:space="preserve">BLOCAGE CIRVIE
L'utilisateur est bloqué sur Cirvie (impossible de démarrer Site Central).
 </t>
  </si>
  <si>
    <t>I26_022440</t>
  </si>
  <si>
    <t>CIRVIE PF5Mme TAKHMI nous appelle car elle a un blocage PF5.</t>
  </si>
  <si>
    <t>I26_022494</t>
  </si>
  <si>
    <t>OUVERTURE SITE CENTRAL
L'utilisatrice n'arrive pas a ouvrir site central.</t>
  </si>
  <si>
    <t>I26_022558</t>
  </si>
  <si>
    <t>CIRVIE - ERREUR PF5
L'utilisatrice nous contacte car elle a une erreur PF5 sur Cirvie.</t>
  </si>
  <si>
    <t>I26_022675</t>
  </si>
  <si>
    <t xml:space="preserve">Cirvie. Ordres BFT non valorisés1) Référence(s) : OMV. MA. Le 17/03/262) Situation attendue : Ordres valorisés3) Situation obtenue :
Les 3 ordres sont toujours en attente de valo.
Voir échange OMV / DSI ci-joint.
Urgence pour les ordres de la police 000000000045766.
Pourriez-vous également pour ces 2 ordres svp :
000000000116392 BFT 20260205 24 20260201 AB 007 000000000145723 BFT 20260301 12 20260209 AB 001 </t>
  </si>
  <si>
    <t>I26_022722</t>
  </si>
  <si>
    <t>CIRVIE - AJOUT GARANTIE FRAIS D'OBSEQUES
1) Référence(s) : N° Contrat : 190501100000836 / voir documents2) Situation attendue : Avoir une date d'effet du 01/01/20243) Situation obtenue : L'utilisatrice envoie un mail car la date d'effet d'un contrat a été changé au 01/01/2026 et souhaite la forcer au 01/01/2024.</t>
  </si>
  <si>
    <t>I26_022727</t>
  </si>
  <si>
    <t xml:space="preserve"> Le Job A1P1CV1452 est en etat JOBFAILURE sur SMASPRO1 le 18/03/2026 a 00:33:23. RC=20 
Ouvrir un incident </t>
  </si>
  <si>
    <t>I26_022735</t>
  </si>
  <si>
    <t>Message : Job en MSGW  dans le AUTOMATE du smaspro1Msg_curl : NADate de creation : 18/03/2026 07:00:50Host : smaspro1
Spool généré : 
A1P1LOG
EXPLOIT
787336</t>
  </si>
  <si>
    <t>I26_022763</t>
  </si>
  <si>
    <t>Décès - validation de réemploi 
1) Référence(s) : Assuré décédé : M. BOUTIER Jean Pierre / Numéro de sociétaire : 408221N / Numéro de contrat : 129192 // Assurée : Mme BOUTIER Rosen / Numéro de sociétaire : L33823U / Numéro de contrat : 146025 (BIA en mobilité)2) Situation attendue : Validé le réemploi sur le contrat de Mme BOUTIER Rosen. 3) Situation obtenue : Message bloquant à la dernière étape du PO0507.</t>
  </si>
  <si>
    <t>I26_022926</t>
  </si>
  <si>
    <t>I26_022972</t>
  </si>
  <si>
    <t xml:space="preserve">Confirmation avant clôture - Demande R-2026-04139 (Acte de gestion) / SOCIETE BRAJA VESIGNE SA / 
1) Référence : N° Sociétaire : 592212B 
2) Situation attendue : Avoir le relevé de situation annuel d'édité 
3) Situation obtenue: Mail reçu : Le relevé de situation annuel de l’entreprise BRAJA VESIGNE (sociétaire 592212B) n’a pas été édité. 
 </t>
  </si>
  <si>
    <t>REY, Cyrielle</t>
  </si>
  <si>
    <t>I26_022975</t>
  </si>
  <si>
    <t xml:space="preserve">ANNULATION INSTANCES EXONERATION CIRVIE
1) Référence :
2) Situation attendue : Annuler des instances exonérations mentionné
3) Situation obtenue: Mail reçu : Merci d’ouvrir un ticket concernant des INSTANCES EXONERATION à annuler dans la bande de demain (saisies ce jour).
Sociétaire C20445J MAILLOT FrançoisNuméro de contrat 005093000001012 Instance 26 742028 : 234.02€Numéro de contrat 005093100000956 Instance 26 742029 : 95.28€CL 216215 SARL CNBFRIB 02 // FR76 1213 5003 0008 0016 2103 783
 </t>
  </si>
  <si>
    <t>I26_022977</t>
  </si>
  <si>
    <t>CIRVIE : Ecart BANCO de 311,22€ au 18/03/2026
1) Référence(s) : Date de survenance : 18/03/2026 / Date de déclaration : 18/03/2026 2) Situation attendue : Cohérence entre les bandes de virement et le flux comptable. Correction CIRVIE attendue : pourquoi CIRVIE n’a pas envoyé les CRE d’émission et de règlement d’IJ. Pas de CRE de rattrapage 3) Situation obtenue : Ecart Banco ; 311,22 € bande n° 60207. L’écart est dû au sinistre IJ 2023-34495 : dans le CRE ISTB01 il manque le l’émission et le règlement de 311,22€ pour ce sinistre.</t>
  </si>
  <si>
    <t>I26_022979</t>
  </si>
  <si>
    <t>CIRVIE : Ecart BANCO de 199,59€ au 18/03/2026
1) Référence(s) : Date de survenance : 18/03/2026 / Date de déclaration : 18/03/2026 2) Situation attendue : Cohérence entre les bandes de virement et le flux comptable. Correction CIRVIE attendue. Pas de CRE de rattrapage.3) Situation obtenue : Ecart Banco : 199,59 € bande n° 60155. L’écart est dû au sinistre DC 2024-53727. Dans le CRE , il manque dans le CRE de règlement les pénalités de retard (6,96€) et le montant post-mortem (192,63€)</t>
  </si>
  <si>
    <t>I26_022990</t>
  </si>
  <si>
    <t>Problème Cirvie1) Référence(s) :GED : 2026-014946-1, mail en PJ, SC C39043K, Contrat : 0000000001459922) Situation attendue : Savoir comment régulariser la situation3) Situation obtenue :
Madame Mangin nous sollicite au sujet d’un BATIEPARGNE souscrit le 02/03/2026. A ce jour la PM est à 0 euros et il n’y a pas de valorisation en cours.Le RIB était bien à « Y » pour le prélèvement.
A ce jour, le prélèvement test toujours « en CO DELAI » en GP06</t>
  </si>
  <si>
    <t>I26_023076</t>
  </si>
  <si>
    <t>Modification Téléphone dans CIRVIE
1) Référence(s) : Mettre à jour son numéro par 06 49 70 53 90.2) Situation attendue : Faire le changement de numéro de téléphone.3) Situation obtenue : Nous n’arrivons pas à modifier le numéro de telephone de Mr pour CURTET Philippe n°assuré 79323. Nous avons fait plusieurs tentatives de modification dans CIRVIE mais le numéro n'est pas modifié. A chaque fois il est écrasé par le numéro de Coheris. Et le délégataire l’auxiliaire ne peut pas faire de modification dans Coheris.</t>
  </si>
  <si>
    <t>LEUFROY, Mickael</t>
  </si>
  <si>
    <t>I26_023087</t>
  </si>
  <si>
    <t xml:space="preserve">DEMANDE DE MODIFICATION COMPARTIEMENT
1) Référence : SC : 542061A - Contrat : 000000000105554
2) Situation attendue : Répondre au interrogation de l'utilisatrice 
3) Situation obtenue: Je me permets de venir vers vous afin de vous solliciter pour un problème de compartiment.D’après la copie d’écran des listes de virements, il apparaît effectivement que les 112 044,18 € correspondent aux fonds en provenance de Natixis et qu’ils doivent être repositionnés dans le compartiment obligatoire du contrat PERIN 000000000105554.N’ayant pas eu ces informations avants l’instance des 112 044,18 € a été positionné dans le compartiment déductible.
 </t>
  </si>
  <si>
    <t>I26_023113</t>
  </si>
  <si>
    <t>PROBLEME RACHAT CHARTRES INVESTISSEMENTS SARL
1) Référence(s) : N°SINISTRE : 2026 00000001317 / SC : F62652F / Contrat : 000000000091458
2) Situation attendue : la possibilité de corriger ceci en interne, en annulant le sinistre afin d’en saisir un nouveau en code 26 avec la bonne répartition.3) Situation obtenue : L'utilisateur a saisi une demande de rachat avec cette répartition alors que le sociétaire souhaitait que 100 % en fonds euros. Le sociétaire revient vers eux mécontent.</t>
  </si>
  <si>
    <t>I26_023139</t>
  </si>
  <si>
    <t>Cirvie. Plantage PJ04 du 17/03/261) Référence(s) : Lié à l'incident I26_0222892) Situation attendue : Pas de plantage.3) Situation obtenue :
Correction programme.</t>
  </si>
  <si>
    <t>I26_023176</t>
  </si>
  <si>
    <t>CIRVIE - DEMANDE SUPPRESSION RIB
1) Référence(s) : Voir documents / Assuré : L34682G - LABADIE Michael / N° GED : 2026-016632-1 / Contrat 000000000146065
2) Situation attendue : Pourriez- vous supprimer le rib de cette fiche
3) Situation obtenue : RIB du tiers payeur enregistré sur le PE de l’assuré</t>
  </si>
  <si>
    <t>I26_023189</t>
  </si>
  <si>
    <t>Message : A1P1CV1452Msg_curl : Le Job A1P1CV1452 est en etat JOBFAILURE sur SMASPRO1 le 19/03/2026 a 00:59:31. RC=20Date de creation : 19/03/2026 00:42:20Host : SMASPRO1
P1CI01J -&gt; OK</t>
  </si>
  <si>
    <t>I26_023190</t>
  </si>
  <si>
    <t>Le Job A1P1CV2411 est en etat JOBFAILURE sur SMASPRO1 le 19/03/2026 a 01:02:57. RC=20</t>
  </si>
  <si>
    <t>I26_023206</t>
  </si>
  <si>
    <t xml:space="preserve">ANOMALIE HABILITATION CIRVIE
1) Référence :
2) Situation attendue : Avoir l'ensemble des droits sur cirvie 
3) Situation obtenue: L'utilisatrice nous informe qu'elle ne possède pas certains droits sur cirvie et l'empêche d'accéder à certaines informations (voir capture mail)
 </t>
  </si>
  <si>
    <t>CABEZAS, Stephanie</t>
  </si>
  <si>
    <t>I26_023331</t>
  </si>
  <si>
    <t xml:space="preserve">CIRVIE/BRIQUE FISCALE : Correction BF01, BF02 &amp; BF12 pour PE WANDERPLANCKE N°137221) Bénéficiaire / Date du forum : Morgane BEAUMEL /OMVie le 19/03/20262) Situation attendue : nous souhaitons neutraliser les annulations d’émissions listées ci-dessous, pour que rien ne soit envoyé dans la déclaration PASRAU de mars 2026 :
BFTB12           BFTB02
00671546_97   00671546_9800681283_97   00681283_9800690553_97   00690553_9800699904_97   00699904_9800709732_97   00709732_9800719241_97   00719241_9800728749_97   00728749_9800738527_97   00738527_9800671546_97   00671546_9800681283_97   00681283_9800690553_97   00690553_9800699904_97   00699904_9800709732_97   00709732_9800719241_97   00719241_9800728749_97   00728749_9800738527_97   00738527_98
Annulation d’émission envoyées par ASSUREX suite à la saisie du décès du crédirentier au 03/03/2024 au lieu de 03/03/2026. 
Dans l’incident I26_022878, nous prenons en charge la correction ASSUREX. (forçage du statut des émissions = 05/Réglée) + rattrapage comptable (flux du 18/03/2026 non intégrés dans ANAEL).
Nous ne voulons rien envoyer dans le PASRAU MARS 2026.(ces émissions sont bien dues au crédirentier et lui ont été réglées. Ce dernier étant décédé au 03/03/2026 &amp; Il n’y aura plus de mouvement à déclarer /COMPTE SOLDE) 
En PJ les copies des tables BFTB02 et BFTB12 (voir les éléments en « rouge » qui ne doivent pas être déclarés) mais il faut également modifier la BFTB01 (csta = 'E')  pour ne rien déclarer pour ce crédirentier.
3) Situation obtenue : Ces émissions sont au statut « 6_A régulariser » dans la déclaration PASRAU de mars-2026 : SSAAMM = « 202603 » et le statut du crédirentier (csta = 'A') avec date envoi DGFIP = 20260306
 </t>
  </si>
  <si>
    <t>I26_023345</t>
  </si>
  <si>
    <t>ACCES CIRVIEL'utilisatrice ne parvient plus à accéder à Cirvie.</t>
  </si>
  <si>
    <t>I26_023388</t>
  </si>
  <si>
    <t xml:space="preserve">Flux de prestations santé HELIUM 02/2026 non intégré dans sa totalité
1) Référence : Flux de prestations santé février 2026
2) Situation attendue : Le montant de 4 027,95 € doit être régler à HELIUM, merci d’avance pour votre action.   
3) Situation obtenue: Nous avons déposé le 17/03/2026 le flux de prestation santé HELIUM 02-2026 pour un montant de 613 138,46 €. Il a été retenu par la comptabilité le 18/03/2026 le montant de 609 110,53 € que nous avons validé.L’écart de 4 027,95 € n’a pas été pris en compte et n’apparait pas dans le répertoire des rejetsS:\COURTAGE VIE\FM
 </t>
  </si>
  <si>
    <t>I26_023489</t>
  </si>
  <si>
    <t xml:space="preserve">BLOCAGE CIRVIE
L'utilisateur est bloqué sur Cirvie (PF5 pour forcer).
 </t>
  </si>
  <si>
    <t>I26_023509</t>
  </si>
  <si>
    <t>CIRVIE - BLOCAGE
L'utilisatrice appelle car elle est bloqué sur Cirvie.
Elle a un écran noir, donc on la fait quitté la tâche puis on ferme la session pour qu'elle puisse la rouvrir.
Après cela, elle est bloqué en PF5 sur VIe</t>
  </si>
  <si>
    <t>I26_023626</t>
  </si>
  <si>
    <t>IMPOSSIBLE CONNECTER CIRVIEMme PRIAM nous appelle car elle n'arrive pas à se connecter à CIRVIE.</t>
  </si>
  <si>
    <t>I26_023643</t>
  </si>
  <si>
    <t>CIRVIE - OPERATION BLOQUEE
1) Référence(s) : SC : F68908P / Contrat : 000000000092370
2) Situation attendue : Déblocage de la situation.3) Situation obtenue : L'utilisateur a une demande de rachat pour Mr DEL FABRO, il est bloqué pour le motif suivant "Règlementaire - operation bloquée".</t>
  </si>
  <si>
    <t>I26_024489</t>
  </si>
  <si>
    <t>L'utilisatrice n'a pas son mot de passe d'accès à Cirvie et Appli Vie</t>
  </si>
  <si>
    <t>I26_024817</t>
  </si>
  <si>
    <t>INCIDENT VALSIN1) Référence(s) :- Secteur : SER I- Outil : CIRVIE- Type du sinistre : RACHAT TOTAL - N° SOCIETAIRE : 205037U Ctt : 2701- Date d'effet du RACHAT PARTIEL  27/01/20252) Situation attendue : Saisie d'un RACHAT TOTAL sous CIRVIE3) Situation obtenue : Le message "INCIDENT VALSIN apparaît au moment de la saisie du de l’opération.</t>
  </si>
  <si>
    <t>I26_024912</t>
  </si>
  <si>
    <t>Problème de contrat1) Référence(s) : Numéro de contrat Bati Epargne : 115604 (transfert d’un contrat Batiretraite 2 : 3939686930000)
2) Situation attendue : Le contrat étant souscrit après le 20/11/1991, je m’attends à ce que : - Primes versées avant le 13/10/1998 et avant 70 ans : exonéré- Primes versées après le 13/10/1998 et avant 70 ans : 990i- Primes versées après le 13/10/1998 et après 70 ans : 757B
En consultant PO26, les sommes soumises aux droits de mutations – art. 757B devraient être non nulles. Je m’attends à ce qu’il y ait 4 versements de ce type (après le 13/10/1998 et après 70 ans), dont celui de 62 481,30€ effectué le 25/09/2013 (pièce jointe)
3) Situation obtenue : En consultant PO26, les sommes soumises aux droits de mutations – art. 757B sont nulles.</t>
  </si>
  <si>
    <t>I26_024914</t>
  </si>
  <si>
    <t xml:space="preserve">CIRVIE - blocage rachats UC 100%
1) Référence(s) : Voir document / N° de sociétaire : 069257R / Type d’acte : rachat partiel / Montant : environ 40000€ / N° de contrat : 136470
2) Situation attendue : Saisie d’un rachat partiel.3) Situation obtenue : Au moment de la saisie du rachat, blocage au niveau des supports: Le sociétaire souhaite racheter 100% de 3 des 4 UC qu’il dispose hors le fonds structuré : le montant annoncé disponible est de 39921,95€. Il rentre 100% des 3 UC et le montant total change pour 39970,43€ ce qui est supérieur a ce qui est marqué sur l'écran précédant et donc impossible à mettre car supérieur au montant hors fonds structuré du 1er écran.
 </t>
  </si>
  <si>
    <t>I26_024919</t>
  </si>
  <si>
    <t>Anomalie : Fichier récapitulatif des Capitaux DC
1) Référence(s) : Voir document2) Situation attendue : La situation du stock de capitaux DC doit être cohérente avec des montants corrects pour chaque ligne de produits identifiée.3) Situation obtenue : Le bloc « Stock » de capitaux sous-risques sur SMAVIEBTP en début période et en fin période sont erronés. Le fichier affiche un stock de Capitaux &lt;0. DE plus, des produits ont eu des flux (souscription, avenant, résiliation, etc..) mais ne sont pas identifiés dans la liste des capitaux DC en stock. Par ailleurs le montant total affiché ne correspond pas à la somme des montant par produits.</t>
  </si>
  <si>
    <t>RAKOTONANDRASANA, Nivoharilala</t>
  </si>
  <si>
    <t>I26_024921</t>
  </si>
  <si>
    <t>CIRVIE - Rejet ISIE instance CS 
1) Référence(s) : Date de survenance : 20/03/2026 / Date de déclaration : 20/03/2026 2) Situation attendue : Création de l’instance avec un mode de règlement virement ou chèque reçu.3) Situation obtenue : Rejet ISIE. Instance CS saisie avec le mode de paiement 80. N° instance 26742165</t>
  </si>
  <si>
    <t>I26_025136</t>
  </si>
  <si>
    <t xml:space="preserve">IMPOSSIBLE D'ACCEDER A L'APPLICATION VIE 
1) Référence : 
2) Situation attendue : Réinitialiser le mot de passe de l'application vie 
3) Situation obtenue: L'utilisatrice nous informe qu'elle n'a plus accès a l'application vie car son mot de passe ne fonctionne plus 
 </t>
  </si>
  <si>
    <t>MATHIS, Stephanie</t>
  </si>
  <si>
    <t>I26_025271</t>
  </si>
  <si>
    <t>CIRVIE - PROBLEME SUR UNE AVANCE
1) Référence(s) : Voir document / N° 10000000005920 CONTRAT N°139975 425457M WANNEPAIN2) Situation attendue : Correction de l'anomalie.3) Situation obtenue : Suite à une demande du conseiller, je m’aperçois que nous avons deux lignes pour la même avance. 1 seul GED, une seule saisie. Deux courriers d’avance sous ADOC. Deux lignes sous CIRVIE.</t>
  </si>
  <si>
    <t>I26_025291</t>
  </si>
  <si>
    <t xml:space="preserve">CIRVIE - IMPOSSIBLE DE SE CONNECTER
L'utilisatrice appelle car elle n'arrive pas à se connecter à Cirvie. </t>
  </si>
  <si>
    <t>I26_025292</t>
  </si>
  <si>
    <t>I26_025295</t>
  </si>
  <si>
    <t>I26_025411</t>
  </si>
  <si>
    <t>CIRVIE - INCIDENT VALSIN1) Références : - Secteur : SER I- Outil : CIRVIE- Type du sinistre : décès- Numéro de contrat : 43143
Merci de bien vouloir vérifier et retirer le post it si c’est ok.</t>
  </si>
  <si>
    <t>I26_025422</t>
  </si>
  <si>
    <t xml:space="preserve">blocage sur opération de rachats de bons sociétaire DCD - 411366R
1) Référence : SER I, - Outil : CIRVIE, - RACHAT TOTAL / des bons de capitalisation (bon au porteur)N°s des bons : 004113668930000 au 004113668930009
2) Situation attendue : passer l’opération de rachat total des bons de capitalisation
3) Situation obtenue: opération bloquée : « connaissance client incomplète – opération bloquée » sociétaire DCD
 </t>
  </si>
  <si>
    <t>I26_025454</t>
  </si>
  <si>
    <t>CIRVIE - DECES EI INCIDENT ARBITRAGE
1) Référence(s) : Incident précédent : I26_015213 / Client: 324627M Contrat 0000000000047092) Situation attendue : Avoir la démarche à suivre.3) Situation obtenue : L'utilisatrice envoie un mail après avoir fait un test en saisissant un sinistre en date du 19/01/2026 =&gt; Il ne se valorise toujours pas.</t>
  </si>
  <si>
    <t>I26_025458</t>
  </si>
  <si>
    <t>CIRVIE - ADHESION 000000000146227
1) Référence(s) : Sociétaire : L15397T / N° contrat : 146227 / N° PER Entreprise : 1462272) Situation attendue : Sur le certificat d'adhésion, on devrait avoir les taux à 4 %3) Situation obtenue : Anomalie sur le certificat d'adhésion sur lequel le taux de versement sur abondement et compte épargne retraite et le taux sur versement obligatoire apparaissent à 0,00%
cf certificat adhésion en pièce jointe</t>
  </si>
  <si>
    <t>I26_025580</t>
  </si>
  <si>
    <t>CIRVIE - Habilitation HA01
1) Référence(s) : M. LEUFROY le 24/03/20262) Situation attendue : Ajout dans HA01 du poste PE01 avec le badge A2AD973) Situation obtenue : Ne peut pas mettre à jour les numéros de téléphone pour les SEL pour les personnes de l'auxiliaire via PE01</t>
  </si>
  <si>
    <t>I26_025630</t>
  </si>
  <si>
    <t>CIRVIE - Anomalie bordereaux commissions
1) Référence(s) : lié à l'incident I26_0213162) Situation attendue : Suppression des sociétaires avec une nature CT et mise à jour des relations sur les contrats concernés.3) Situation obtenue : La gestion a créé des sociétaires avec une nature CT, ce qui engendre des anomalies</t>
  </si>
  <si>
    <t>I26_025701</t>
  </si>
  <si>
    <t>CIRVIE - IMPOSSIBLE DE MODIFIER AGE DE LA RETRAITE 
1) Référence(s) : Contrat : 136933 / N° AF :241432 / N° affiliation : 100044036
2) Situation attendue : Souhaite modifier l’âge de la retraite.3) Situation obtenue : Impossible de modifier voir écran cirvie.</t>
  </si>
  <si>
    <t>I26_025888</t>
  </si>
  <si>
    <t>CIRVIE - Impossible de saisir une nouvelle affiliation
1) Référence(s) : Adhésion PER ENTREPRISE 1462272) Situation attendue : pouvoir saisir une nouvelle affiliation sur cette adhésion3) Situation obtenue : Impossible de saisir une nouvelle affiliation sur l'adhésion 146227. Sur l'écran CVE143, les champs ne sont pas alimentés correctement et engendre un plantage de CIRVIE
cf pièce jointe</t>
  </si>
  <si>
    <t>I26_026121</t>
  </si>
  <si>
    <t xml:space="preserve">Annulation ligne de règlement // Sinistre Indemnité journalière 202400000014221
1) Référence :
2) Situation attendue : supprimer les lignes demandées 
3) Situation obtenue: Mail reçu : Afin de traiter un indu sur des indemnités journalières versées à tort, nous vous prions de bien vouloir annuler les règlements pour les lignes suivantes :
B053 IJ nettes  01/03/2025 31/03/2025      1982,14 TPF INGENIERIE       29 RB053 IJ nettes  01/02/2025 28/02/2025      1790,32 TPF INGENIERIE       29 R
Référence Dossier :Branche : 0008 COLLECTIVE        Assuré            : 000000000353999 MR MOLINES RICHARDSociétaire      : J03414F         STE TPF INGENIERIESinistre          : 2024 00000014221
 </t>
  </si>
  <si>
    <t>BOUSSEKAYA, Nadia</t>
  </si>
  <si>
    <t>I26_026126</t>
  </si>
  <si>
    <t>I26_026135</t>
  </si>
  <si>
    <t xml:space="preserve">Annulation ligne de règlement // Sinistre  Indemnité journalière 2023 00000028123
1) Référence :
2) Situation attendue : Annuler le règlement 
3) Situation obtenue: Mail reçu : Afin de traiter un indu sur des indemnités journalières versées à tort, nous vous prions de bien vouloir annuler le règlement pour la ligne suivante :
B053 IJ nettes  26/11/2024 17/12/2024       891,66 COURANT SA           29 R
Référence Dossier :Branche : 0008 COLLECTIVE        Assuré             : 000000000347632 MR THULEAU JEANSociétaire         : 264466L         STE COURANT SA     Sinistre           : 2023 00000028123
 </t>
  </si>
  <si>
    <t>I26_026136</t>
  </si>
  <si>
    <t>Annulation ligne de règlement // Sinistre  Indemnité journalière  2024 00000014403 
1) Référence :
2) Situation attendue : Annuler le règlement 
3) Situation obtenue:  Mail reçu : Afin de traiter un indu sur des indemnités journalières versées à tort, nous vous prions de bien vouloir annuler les règlements pour les lignes suivantes :
B053 IJ nettes  20/07/2024 16/08/2024      1179,64 COURANT SA           29 RB053 IJ nettes  10/05/2024 17/06/2024      1643,07 COURANT SA           29 R
Référence Dossier :Branche : 0008 COLLECTIVE        Police     : 002644660919000Sinistre  : 2024 00000014403      Assuré   : 000000000354106 MR JOLIVET AURELIEN</t>
  </si>
  <si>
    <t>I26_026139</t>
  </si>
  <si>
    <t xml:space="preserve">Annulation ligne de règlement // Sinistre 202000000008935 Indemnité journalière 
1) Référence : 
2) Situation attendue : Annuler le règlement 
3) Situation obtenue: Mail reçu : Afin de traiter un indu sur des indemnités journalières versées à tort, nous vous prions de bien vouloir annuler les règlements pour les lignes listées ci-après :
B053 IJ nettes  27/02/2021 18/06/2021      7427,84 LACOMBE              29 RB053 IJ nettes  01/01/2021 26/02/2021      3780,24 LACOMBE              29 RB053 IJ nettes  14/11/2020 31/12/2020      3183,36 LACOMBE              29 RB053 IJ nettes  28/08/2020 13/11/2020      5172,96 LACOMBE              29 RB053 IJ nettes  08/06/2020 27/08/2020      5371,92 LACOMBE              29 R
Référence Dossier :Sociétaire :295017TContrat : 002950170911000Assuré(e) : BLANQUER MarieDossier : 202000000008935Arrêt de travail du : 06/03/2020
 </t>
  </si>
  <si>
    <t>I26_026141</t>
  </si>
  <si>
    <t xml:space="preserve"> Incident valsin N° SC 273825F 
1) Référence : Secteur : SER I - Outil : CIRVIE - Type du sinistre : Arrêt rachat programmé - N° SOCIETAIRE : 273825F
- N° de contrat: 75524 - Montant du rachat : 7 500 € - Date d'effet du rachat : 24/03/2026
2) Situation attendue : Pouvoir arrêter les rachats afin de clôturer la demande 
3) Situation obtenue: Message d'incident sur ce contrat : incident valsin , impossible de procéder à l’arrêt des rachats 
 </t>
  </si>
  <si>
    <t>I26_026248</t>
  </si>
  <si>
    <t xml:space="preserve">SINSITRE 2026 00000003259 C10892X DOMINGUES GED 2026-001418-1
1) Référence :
2) Situation attendue : Répondre au interrogation de l'utilisatrice
3) Situation obtenue: Mail reçu : Le service relation client a été contacté par l’assuré car la concurrence n’a pas réceptionné les fonds du transfert.Le sinistre est toujours ouvert, alors qu’il est validé par Clauvis et que sous UC50 nous n’avons plus de fonds en cours de valo.Pas de bordereau, pas de courrier de transfert sous ADOC.
 </t>
  </si>
  <si>
    <t>I26_026294</t>
  </si>
  <si>
    <t>MESSAGE BLOQUANT SUR L'OUVERTURE DECES
1) Référence(s) : Assuré décédé : Mme PAVY Janine / Numéro de sociétaire : 645496Y / Numéro de contrat : 125997 (ancien 47706)2) Situation attendue : Arbitrer les fonds du contrat pour instruire le dossier.3) Situation obtenue : Dans la transaction PO26, le message bloquant apparait : 0629-Consulter le sinistre 2022 00000043245 alors que ce sinistre est CLOS SANS SUITE</t>
  </si>
  <si>
    <t>I26_026318</t>
  </si>
  <si>
    <t xml:space="preserve">CIRVIE Sinistre 2026 00000003069 Non réglé
1) Référence(s) : Voir Documents
GED – TACHE GED 2026-005276-1
- Secteur : SER I- Outil : CIRVIE- Opération : TRANSFERT SORTANT SIN 2026 00000003069- N° SOCIETAIRE : C00127W MR GAUTIER Alain2) Situation attendue : Tache clôturée par la gestion entrainant le règlement du sinistre SIN 2026 3069. A ce jour le règlement du TRANSFERT SORTANT n’a pas été effectué.
3) Situation obtenue : Opération validée le 13/02/2026 par Clauvis, et selon la compta la tâche ne serait pas clôturer afin d’instruire le règlement.La compta n’est pas habilitée çà clore le sinistre.Ils n’ont pas la transaction « sv0223 » comme indiqué sur la capture écran ici bas.
 </t>
  </si>
  <si>
    <t>I26_026332</t>
  </si>
  <si>
    <t>Le Job A1P1CV2405 est en etat JOBFAILURE sur SMASPRO1 le 26/03/2026 a 00:23:59. RC=20
ouvrir un dn</t>
  </si>
  <si>
    <t>I26_026333</t>
  </si>
  <si>
    <t>Le Job A1P1CV2520 est en etat JOBFAILURE sur SMASPRO1 le 26/03/2026 a 01:18:55. RC=20
A1P1CV2520 : Traitement avec recovery Partiel, vérifier que le job A1P1CV25RY est bien passé. La suite s’enchaine
A mon avis c'est plus le job A1P1CV25R1 qui est ok</t>
  </si>
  <si>
    <t>I26_026356</t>
  </si>
  <si>
    <t xml:space="preserve">VALSIN CONTRAT 73582
1) Référence : Numéro de contrat : 073582 - Numéro sociétaire : 500795K
2) Situation attendue : Pourriez- vous nus informer si nous pouvons procéder a la saisie du rachat.
3) Situation obtenue: Nous avons un incident valsin sous sv0205
 </t>
  </si>
  <si>
    <t>I26_026367</t>
  </si>
  <si>
    <t xml:space="preserve">VALSIN CONTRAT 75370
1) Référence : Numéro de contrat : 73570 - Numéro sociétaire : 500794J
2) Situation attendue : Pourriez- vous nus informer si nous pouvons procéder a la saisie du rachat.
3) Situation obtenue: Nous avons un incident valsin sous sv0205
 </t>
  </si>
  <si>
    <t>I26_026389</t>
  </si>
  <si>
    <t xml:space="preserve">J70066G MENUISERIE DU ROYANS SAS  Contrat : 137708
1) Référence : MENUISERIE DU ROYANS SAS - J70066G Contrat : 137708
2) Situation attendue : Scinder l’instance pour procéder à l’affectation de la PM
3) Situation obtenue: Impossible de scinder l’instance en GP01 car n° affiliation donne un code produit batisanté au lieu du code 1116483 PER
 </t>
  </si>
  <si>
    <t>I26_026430</t>
  </si>
  <si>
    <t xml:space="preserve">Décès prévoyance      
1) Référence : Emetteur : MOAC - Référence incident MOAC : I04647 - Urgence : HAUTE - Assigné à :  MOAC
2) Situation attendue : Cohérence entre CIRVIE et ANAEL
3) Situation obtenue : Sinistre décès prévoyance Décès ouvert avant lot 2 2025 et réglé après --&gt; la charge sinistre n'a pas été comptabilisée dans ANAEL2025-12804
 </t>
  </si>
  <si>
    <t>MOA Comptable</t>
  </si>
  <si>
    <t>I26_026433</t>
  </si>
  <si>
    <t>MOT DE PASSE APPLI VIE
L'utilisatrice n'a pas son mot de passe d'accès à l'Appli VIE</t>
  </si>
  <si>
    <t>PAIRIN, Louanne</t>
  </si>
  <si>
    <t>I26_026435</t>
  </si>
  <si>
    <t xml:space="preserve">Sinistre en anomalie M - 345915Y - RADLO Catherine
1) Référence : Secteur : SER I - Outil : CIRVIE - Type du sinistre : rachat partiel - N° SOCIETAIRE : 345915Y - N° de contrat: 112316 - Sinistre : 2026-6346 - Montant du rachat : 2 000 € - Date d'effet du rachat : 25/03/2026
2) Situation attendue : Pouvoir valider le rachat afin de clôturer la demande 
3) Situation obtenue : Message d'incident sur ce contrat : sinistre en anomalie ‘ M ’
 </t>
  </si>
  <si>
    <t>I26_026440</t>
  </si>
  <si>
    <t>CIRVIE – B029-Incident sur le contrat n° 000000000030693 (VALSIN OMV)
1) Référence(s) : Voir documents / Numéro de contrat : 0000000000306932) Situation attendue : Ne pas avoir de message Incident VALSIN OMV.3) Situation obtenue : L’incident « B029 – Incident sur ce contrat (VALSIN OMV) » se produit sur le contrat n° 000000000030693</t>
  </si>
  <si>
    <t>I26_026443</t>
  </si>
  <si>
    <t xml:space="preserve">CIRVIE PROD - IMPOSSIBLE DE SE CONNECTER
L'utilisatrice appelle car elle s'est déconnectée du réseau en voulant se remettre sur Cirvie, elle est bloquée. </t>
  </si>
  <si>
    <t>GASSAMA, Maimouna</t>
  </si>
  <si>
    <t>Réseau</t>
  </si>
  <si>
    <t>I26_026447</t>
  </si>
  <si>
    <t>I26_026471</t>
  </si>
  <si>
    <t xml:space="preserve">CIRVIE - RCAN - Cumul versements
1) Référence(s) : OMV le 26/03/20262) Situation attendue : Cumul des versements attendu pour ce contrat est de 600€.
Analyse DSI : 
La recherche des quittances pour les compartiments n’utilise pas la DTN pour les quittances dont la date d’effet est dans l’exercice. 
Une correction programme est possible. Merci de créer un incident pour qu’elle soit traitée.
3) Situation obtenue : Dans le cadre du contrôle des RCAN PER IN Confiance, le cumul des versements pour le contrat 113700 dans le fichier trace est de 4 100€. Nous avons l'impression que la quittance du 26/02/2026 à effet retro de 2025 est prise en compte alors que la DTN est au 26/01/2026. </t>
  </si>
  <si>
    <t>I26_026493</t>
  </si>
  <si>
    <t>INCIDENT - COURRIER - SUR OPERATION DE RACHATS DE BONS SOCIETAIRE DCD - 411366R1) Référence(s) : Assuré : 411366R2) Situation attendue : Correction de l'anomalie.3) Situation obtenue : Mail reçu :Secteur : SER I, - Outil : CIRVIE / EDOC - RACHAT TOTAL / des bons de capitalisation (bon au porteur)N°s des bons : 004113668930000 au 004113668930009Date d’effet : 19/03/2026Régime Fiscal   :  CAPI1) Situation attendue : Le courrier généré est sorti au nom et à l’adresse du BF 372546 créé sous CIRVIE en PE 2) Situation obtenue : le courrier généré est sorti au nom et à l’adresse du sociétaire DCD</t>
  </si>
  <si>
    <t>I26_026544</t>
  </si>
  <si>
    <t>APPLI VIE  - MOT DE PASSE OUBLIE
L'utilisateur n'a pas son mot de passe Appli vie</t>
  </si>
  <si>
    <t>I26_026577</t>
  </si>
  <si>
    <t xml:space="preserve">IMPOSSIBLE D'ACCEDER A LA SESSION P
1) Référence :
2) Situation attendue : Pouvoir accéder à la session P
3) Situation obtenue: l'utilisatrice nous informe qu'elle ne connais pas ses identifiants pour la session P dans l'application vie </t>
  </si>
  <si>
    <t>I26_026584</t>
  </si>
  <si>
    <t>CIRVIE NE S'OUVRE PAS AU LANCEMENT DE PCOMMme BAWJI nous appelle car au lancement de Site Central CIRVIE ne se lance pas.</t>
  </si>
  <si>
    <t>BAWJI, Farah</t>
  </si>
  <si>
    <t>I26_026596</t>
  </si>
  <si>
    <t xml:space="preserve">Annulation quittance cirvie 
1) Référence :
2) Situation attendue : Annuler la quittance 
3) Situation obtenue: Mail reçu : Je souhaite annuler 1 quittance sur cirvie mais comme elle est trop ancienne, je ne peux pas procéder à son annulation.
Voici la quittance que je souhaite annuler : 000000005142545 
 </t>
  </si>
  <si>
    <t>I26_026602</t>
  </si>
  <si>
    <t xml:space="preserve">CIRVIE - Gestion de 2 fonds structurés en même temps
1) Référence(s) : OMV le 26/03/20262) Situation attendue : Correction du programme pour la prochaine campagne des 2 nouveaux fonds structurés commercialisés à partir du mois d'avril 20263) Situation obtenue : Un certain nombre d'ordre sur les supports Y98 et Y99 ne sont pas valorisés à tort.Exemple contrat 000000000136900, arbitrage relais en date du 19/04/2024 non valorisé
Pour les polices 136900, 136953, 136972, 137006 et 137012, l’arbitrage relais n’est pas valorisé car des frais de gestion sont attendus sur CPR. Le fait de ne pas avoir de frais de gestion créés sur la période de commercialisation des fonds structurés (y compris pendant la période de renonciation) n’a été prévu qu’avec un fond structuré, pas 2. Or, c’est le cas pour les 5 contrats.  
 </t>
  </si>
  <si>
    <t>I26_026624</t>
  </si>
  <si>
    <t>Rachat en ligne a recycler
1) Référence(s) : Type du sinistre : Rachat / N° SOCIETAIRE : 315379Z / N° de contrat : 002750996920000 BATIRETRAITE / Montant du rachat : 1 000 € / Date d'effet : 25/03/2026
2) Situation attendue : Pouvoir valider et clôturer la demande;3) Situation obtenue : Message d'incident sur ce contrat à recycler.</t>
  </si>
  <si>
    <t>I26_026625</t>
  </si>
  <si>
    <t>CIRVIE - Demande de rachat total
1) Référence(s) : RACHAT TOTAL  / N° des contrats : 142754 / 142755 / 142756 // Date de souscription : 19/05/2025 // Répartition : gestion déléguée (équilibrée, dynamique et prudente) // Régime Fiscal: CAPI // Choix d’imposition : OPC sté soumis à l’IS2) Situation attendue : passer l’opération de rachat total.3) Situation obtenue : erreur lors de la souscription sur le code produit.</t>
  </si>
  <si>
    <t>I26_026639</t>
  </si>
  <si>
    <t>INFORMATION IMPORTANTE RELATIVE A LA VALIDATION DES DECES1) Référence(s) : Assuré : 0000000000039562) Situation attendue : Correction de l'anomalie.3) Situation obtenue : Je vous contacte car je ne parviens pas à saisir le sinistre en sv0205. Je reste bloquée par cirvie qui indique l’absence d’arbitrage décès alors qu’il est saisi.</t>
  </si>
  <si>
    <t>I26_026658</t>
  </si>
  <si>
    <t>I26_026672</t>
  </si>
  <si>
    <t xml:space="preserve">REJET FLUX PRESTATIONS SANTE // GRAS SAVOYE REGULES DE NOVEMBRE ET DECEMBRE 20241) Référence(s) : 2) Situation attendue : Correction de l'anomalie.3) Situation obtenue : Mail reçu :Bonjour,Nous avons déposé le 25/03/2026 deux fichiers santé de GRAS SAVOYE (CT 7001707) pour régulariser la période de novembre et décembre 2024.Aujourd’hui, nous constatons le rejet pour motif « DATE DE REGLEMENT INVALIDE » or les dates correspondent bien.S:\COURTAGE VIE\FM\03-REJETPouvons-nous redéposer ou faut-il modifier la date de règlement ?Cordialement, </t>
  </si>
  <si>
    <t>I26_026796</t>
  </si>
  <si>
    <t xml:space="preserve">Saisie conservatoire de Créance DUCHER 
1) Référence : BATI Retraite Prestige – sur salaire n° 001755256934000 / BATI Épargne n° 031319
2) Situation attendue : Conformément au retour du juridique et de la DT ci-dessous, je vous prie de bien vouloir retirer le post it JURIDIQUE afin de nous permettre de saisir les rachats.
3) Situation obtenue: post IT B029-Incident sur ce contrat (JURIDIQUE )
 </t>
  </si>
  <si>
    <t>I26_014831</t>
  </si>
  <si>
    <t>SEL VIE PART - LES ARBITRAGES NE REMONTENT PAS1) Référence(s): N° sociétaire : 298456K MR ORTIN BERNARD //043299W MME ORTIN ANNE-MARIE // contrat: 20365 et 20361 // arbitrage du 02/02/2026 P81896N2) Situation attendue : voir les arbitrages des sociétaires3) Situation obtenue : les arbitrages faits par le couple sociétaire en reference ne remontent pas depuis plus de 15 jours malgré les accusés de receptions reçus</t>
  </si>
  <si>
    <t>I26_026831</t>
  </si>
  <si>
    <t xml:space="preserve">CIRVIE - CONNEXION IMPOSSIBLE
L'utilisateur appelle car on n'arrive pas à le connecter à CIRVIE. Quand il essaie, il a un message d'erreur qui lui dit qu'un compte existe déjà et n'arrive pas à le connecté dessus.
On supprime les LU sur P: =&gt; NOK
 </t>
  </si>
  <si>
    <t>I26_026837</t>
  </si>
  <si>
    <t>CIRVIE BLOCAGE PF5M. DAOUD nous appelle car il a un blocage PF5 sur CIRVIE.</t>
  </si>
  <si>
    <t>I26_026848</t>
  </si>
  <si>
    <t>I26_026854</t>
  </si>
  <si>
    <t>IMPOSSIBLE DE SE CONNECTER A VIEMme BONJEAN nous appelle car elle n'arrive pas à se connecter à VIE.</t>
  </si>
  <si>
    <t>BONJEAN, Catherine</t>
  </si>
  <si>
    <t>I26_026895</t>
  </si>
  <si>
    <t>l'utilisatrice n'a pas ses mot de passe Cirvie</t>
  </si>
  <si>
    <t>I26_026896</t>
  </si>
  <si>
    <t>CIRVIE - NE S'AFFICHE PAS
L'utilisatrice appelle car elle n'arrive pas à afficher CIRVIE.</t>
  </si>
  <si>
    <t>I26_026955</t>
  </si>
  <si>
    <t>CIRVIE - Annulation sinistre décès prévoyance 1) Référence(s): Référence incident MOAC : I046502) Situation attendue : Cohérence entre ANAEL et CIRVIE / Correction programme CIRVIE attendue pour générer des CRE en cas d’annulation 3) Situation obtenue : Sinistre décès prévoyance 2025-22334 / Sinistre annulé mais aucun CRE n’ a été généré pour l’annulation du sinistre</t>
  </si>
  <si>
    <t>I26_026973</t>
  </si>
  <si>
    <t xml:space="preserve">Réactivation inexpliquée de VP suite à un changement de payeur -  Contrat 21106 et 63379 – 102817-  8403
1) Référence : 
2) Situation attendue : Répondre au interrogation de l'utilisatrice 
3) Situation obtenue: Mail reçu : Je me permets de solliciter votre aide concernant une anomalie constatée sur plusieurs contrats à la suite d’une simple modification administrative.
Il y a quelques jours, j’ai procédé à un changement de payeur en PO15 sur le contrat n° 21106 de Mademoiselle PETRINKO SC 527650D.Aujourd’hui, le BD m’a contactée car les VP, qui étaient suspendues depuis plusieurs années sur ce contrat, semblent avoir été réactivées automatiquement. Pensant à un bug isolé, j’ai demandé au BD de m’envoyer les éléments pour procéder à une nouvelle suspension.
Cependant, quelques heures plus tard, le BD m’a recontactée concernant la maman, Madame PETRINKO Marie-Pierre SC 061976S, ancienne payeuse du contrat de sa fille. Elle rencontre exactement la même problématique, les VP étaient suspendues depuis plusieurs années sur ses propres contrats et aujourd’hui un courrier automatique a été envoyé pour des rejets de prélèvements concernant ses contrats.
Vous trouverez ci-joint les captures d’écran GP06, PO190 et le courrier pour l’un des contrats de la maman.
La seule action récente effectuée de mon côté est le changement de payeur en PO15 sur le contrat 21106.Nous ne comprenons donc pas comment cette modification aurait pu réactiver d’anciennes VP qui étaient normalement désactivées depuis longtemps.
Pourriez-vous, s’il vous plaît, analyser cette situation et nous indiquer :•    ce qui a pu déclencher cette réactivation des VP,•    et les actions correctives nécessaires pour éviter que cela ne se reproduise
 </t>
  </si>
  <si>
    <t>I26_027283</t>
  </si>
  <si>
    <t>CIRVIE - PF5
L'utilisatrice appelle car elle a un blocage PF5 sur la vue VIE.</t>
  </si>
  <si>
    <t>I26_027303</t>
  </si>
  <si>
    <t>I26_027322</t>
  </si>
  <si>
    <t>CIRVIE - POPA - Anomalie code 60 et 59
1) Référence(s) : OMV le 30/03/20262) Situation attendue : Trouver une solution afin d'intégrer le flux au réalisé dans POPA pour les 6 ordres.3) Situation obtenue : 6 ordres sont en rejet dans POPA pour motif "Le code ISIN du support passif doit être identique à celui du flux prévisionnel" et "Le support passif est différent entre le flux pré et le flux réa". Ces ordres sont relatifs au support BFT et concernent 3 quittances et 3 arbitrages décès. Lors de la consitution du fichier UCTB80, CIRVIE a transmis un flux prévisionnel avec 2 code supports différents et 2 codes ISIN différents sur la même ligne. De fait, les ordres au réalisé ont été rejeté par POPA.
cf fichier en pièce jointe. Détail POPA, UCTB11, UCTB80 et UCTB81 pour les 6 ordres.</t>
  </si>
  <si>
    <t>I26_027342</t>
  </si>
  <si>
    <t>CIRVIE - IMPOSSIBLE DE SE CONNECTER A CIRVIE
L'utilisateur appelle car elle ne peut se connecter à Cirvie.</t>
  </si>
  <si>
    <t>KAHRIMAN, Eda</t>
  </si>
  <si>
    <t>I26_027354</t>
  </si>
  <si>
    <t>Flux de prestations santé GFP 02/2026 non intégré dans sa totalité
1) Référence(s) : • Maquette Santé V2.8 S:\COURTAGE VIE\EXTRACTION_CIRVIE // Flux de prestations santé février 2026 // Voir document2) Situation attendue : Le montant de 2993.87€ doit être régler à GFP. 
3) Situation obtenue : Nous avons déposé le 20/03/2026 le flux de prestation santé GFP 02-2026 pour un montant de 155 165,83 €.Il a été retenu par la comptabilité le 23/03/2026 le montant de 152 171,96 €€ que nous avons validé.L’écart de 2993.87€ n’a pas été pris en compte et n’apparait pas dans le répertoire des rejets S:\COURTAGE VIE\FM.</t>
  </si>
  <si>
    <t>I26_027360</t>
  </si>
  <si>
    <t xml:space="preserve">Blocage pacte adjoint sur contrat
1) Référence(s) : Louisa LE BADEZET C03026K  n° contrat Bati épargne 597282) Situation attendue : débloquer le contrat afin de suspendre des VP avant le 9 /04 pour prise en compte dès ce mois-ci. 3) Situation obtenue : blocage pour suspendre les Versements mensuels du contrat qui est bloqué par un pacte adjoint. Le sociétaire ne peut disposer des fonds qu’a partir de son 21eme anniversaire. Or les payeurs de cotisation sont les grands parents, et ils demandent la suspension des VP. </t>
  </si>
  <si>
    <t>BEAUFILS, Helene</t>
  </si>
  <si>
    <t>I26_027373</t>
  </si>
  <si>
    <t>Problème PF5Monsieur DAOUD est bloquer sur cirvie.</t>
  </si>
  <si>
    <t>I26_027394</t>
  </si>
  <si>
    <t>CIRVIE - POPA - Anomalie Code 66
1) Référence(s) : OMV le 30/03/20262) Situation attendue : Trouver une solution afin d'intégrer les flux. Peut-être les renvoyer à POPA même si le prévisionnel est déjà intégré ?3) Situation obtenue : 12 contrats pour lesquels l'arbitrage relais et l'arbitrage OST ont eu lieu le même jour, soit le 16/01/2026. Les ordres au prévisionnel pour les UC or (CPR ou BFT) ont été envoyés avec un montant à 0 et intégrés dans POPA, lors de l'intégration du flux réalisé qui me parait correct, il s'avère que POPA les a rejeté pour motif "Le sens du flux réalisé est différent de celui du flux prévisionnel pour l'ordre XXXXXX"
De fait aucun montant l'a été transmis à la bourse pour l'achat des UC.</t>
  </si>
  <si>
    <t>I26_027426</t>
  </si>
  <si>
    <t>CIRVIE - CORRECTION DATE D'EFFET
1) Référence(s) : POLICE 190601100003991 / Voir document2) Situation attendue : Correction de l'anomalie.3) Situation obtenue : Suite à la demande du service commercial, nous vous remercions de bien vouloir modifier la date d’effet du contrat 190601100003991 au 01/07/2024 au lieu du 01.01.2025.</t>
  </si>
  <si>
    <t>I26_027493</t>
  </si>
  <si>
    <t>CIRVIE - Anomalie UCB098
1) Référence(s) : OMV le 31/03/20262) Situation attendue : Ne plus avoir l'anomalie dans le traitement3) Situation obtenue : Anomalie dans le traitement UCB098
ANOMALIE Nø :   1   8081-Arbitrage bloquant post‚rieur /mˆme UC               000000000031047
Le contrat 000000000031047 a une option VISIA avec une date au 06/03/2026 mais le client a fait un arbitrage internet le 06/03/2026 de 100% OPM vers 100% BMC</t>
  </si>
  <si>
    <t>I26_027495</t>
  </si>
  <si>
    <t>CIRVIE - Anomalie EDB940
1) Référence(s) : OMV le 31/03/20262) Situation attendue : Alimenter 
Situation   : 0003 ANNULEEMotif sit.  : 0036 DECES  3) Situation obtenue : Reférence dossier 200810 Affiliation 000000100011739, la sitaution de l'affiliation n'est pas alimentée
Situation   :            Motif sit.  : UC27 ARB.DC</t>
  </si>
  <si>
    <t>I26_027507</t>
  </si>
  <si>
    <t>IMPOSSIBLE DE SE CONNECTER A CIRVIEMme ENODIG nous appelle car elle ne peut pas se connecter à CIRVIE elle a un écran noir.</t>
  </si>
  <si>
    <t>ENODIG, Sandra</t>
  </si>
  <si>
    <t>I26_027572</t>
  </si>
  <si>
    <t>CIRVIE ECRAN NOIRMme ENODIG nous appelle car elle à encore un écran noir sur CIRVIE.</t>
  </si>
  <si>
    <t>I26_027664</t>
  </si>
  <si>
    <t>Message : XZP1SC3252Msg_curl : Le Job XZP1SC3252 est en etat JOBFAILURE sur x24812pa le 31/03/2026 a 12:54:16. RC=3Date de creation : 31/03/2026 12:54:17Host : x24812pa</t>
  </si>
  <si>
    <t>I26_027682</t>
  </si>
  <si>
    <t>L'utilisateur n'a pas son mot de passe Appli VIE</t>
  </si>
  <si>
    <t>CAVAILLIER, Stephane</t>
  </si>
  <si>
    <t>I26_027699</t>
  </si>
  <si>
    <t>I26_027804</t>
  </si>
  <si>
    <t xml:space="preserve">re demande dégularisation
1) Référence : Contrat : 000000000091458 - GED : 2026-007840-1
2) Situation attendue : indiquer à l'utilisatrice comment procéder au nouvel arbitrage, puis m’indiquer grâce à une simulation de votre part, le montant de la perte d’intérêts subie dans l’optique de faire un abondement futur sur le contrat.
3) Situation obtenue: Mail reçu : Je me permets de venir vers vous pour vous demander deux éléments ;Afin de pouvoir repasser la demande de rachat pour ce contrat j’ai dû annuler l’arbitrage suivants en date du 30/01/2026- BPP Support € SMAvie BTP 30/01/2026 6,96+ OPM OFI PRECIOUS METALS 05/02/2026 100,00
A ce jour, j’ai réussi à ressaisir le rachat au bonne date, cependant je suis bloqué pour repasser l’arbitrage, voir ci-dessous </t>
  </si>
  <si>
    <t>I26_027818</t>
  </si>
  <si>
    <t>CIRVIE - Fais Médicaux courtage
1) Référence(s) : E. JACOB FRAXE le 31/03/20262) Situation attendue : Génération des frais médicaux dans la bande de virement3) Situation obtenue : Absence du montant de 1 412,90€ pour le courtier G0000001 et 10 637€ pour le courtier 07000585 lors de l'intégration des flux de frais médicaux du 27/03/2026
Pour VIVINTER IMPERIO, les 2 contrats 190601100001188 et 190601100001189 étaient présents dans le flux du courtier 07000294 et le flux du courtier G0000001.
Pour SFP DIOT BY HELIUM, le contrat 190601100001956 est présent dans le flux du courtier 07000585 et le flux du courtier G0000001.
cf détail en pièce jointe</t>
  </si>
  <si>
    <t>I26_027831</t>
  </si>
  <si>
    <t xml:space="preserve">Régularisation comptable
1) Référence :
2) Situation attendue : Clôturer les sinistres
3) Situation obtenue: Mail reçu : Les sinistres 2025 00000018018 et 2025 00000010296 ne peuvent être clôturés dans CIRVIE par la gestion pour le motif "0235-Aucun mont à régler pour ce sinistre dans la transaction SV0220
 </t>
  </si>
  <si>
    <t>I26_027837</t>
  </si>
  <si>
    <t>Blocage modification sinistre décès toujours présent
1) Référence :
2) Situation attendue : Répondre au interrogation de l'utilisatrice 
3) Situation obtenue: Je vous informe que le blocage sur la modification des sinistres décès est toujours présent.
Une fois le(s) bénéficiaire(s) enregistré(s) et validé(s) dans SV0610, on ne peut plus le(s) modifier.
Nous sommes obligés d’annuler le sinistre et de réouvrir un autre.
Exemple :J’avais créé le sinistre 2025 00000037891 avec 2 bénéficiaires validés.Finalement il fallait mettre qu’un bénéficiaire.J’ai voulu modifier, tout est resté bloquer.
J’ai dû annuler le sinistre et créer un nouveau sinistre qui porte le numéro 2025 00000038058.</t>
  </si>
  <si>
    <t>I26_027948</t>
  </si>
  <si>
    <t>Rectification instance 26741179 pour AFN - SC C06817L MR L'HER 
1) Référence :
2) Situation attendue : annuler le versement sur le contrat n°145879 et d’intervenir au niveau de l’instance afin de la réaffecter à un nouveau Bati Épargne (code produit 011698) 
3) Situation obtenue: Mail reçu : En février, nous avons traité les GED 2026-011304-1 et 2026-011304-1 nous demandant d’effectuer 2 rachats de 5 000€ et 40 000€ pour réemploi sur un nouveau contrat. Toutefois, le BD souhaitait ouvrir 2 nouveaux contrats (1 par réemploi) mais il a oublié de nous envoyer le 2° BIA.De ce fait, les deux rachats ont été affectés au même Bati Épargne n°145879.
À ce jour, le BD nous demande de rectifier cette erreur en ouvrant le 2° contrat, qui aurait dû être lié à l’instance n°26741179, à hauteur de 5 000 €.Serait il possible d’annuler le versement sur le contrat n°145879 et d’intervenir au niveau de l’instance afin de la réaffecter à un nouveau Bati Épargne (code produit 011698) ?</t>
  </si>
  <si>
    <t>I26_028135</t>
  </si>
  <si>
    <t>CIRVIE - Sinistre IJ (Correction PGM)
1) Référence(s) : Correction programme I26_0229772) Situation attendue : Avoir les CRE d’émission et de règlement d’IJ3) Situation obtenue : Sinistre 2023-34495
MOE CT 24/03/2026 non reproduit en validant 2 montants au même moment, ou séparément par SV0530 ( dans ce cas les montants 311/22€ et 502.74€ ont été validés le même jour, le B053 de 502.74€ a bien été comptabilisé mais pas le 311.22€) il faudra savoir comme le gestionnaire a procédé pour valider ces 2 montants le 15/03.</t>
  </si>
  <si>
    <t>I26_028204</t>
  </si>
  <si>
    <t>CIRVIE - Contrat 000000000135550
1) Référence(s) : S. LAMBERT le 01/04/20262) Situation attendue : Merci de faire un MCPB de 0,20536 parts sur le fonds BFT en date du 16/01/20263) Situation obtenue : Le contrat 000000000135550 était investi à 100% sur le fonds CPR pour un montant de 5 096 390,72€. Lors du passage de l'OST, le nombre de part du support CPR était de 6231,79609. Avec le ratio arrondi à 5, cela engendre un écart d'environ 22€ à la défaveur du client.</t>
  </si>
  <si>
    <t>I26_028243</t>
  </si>
  <si>
    <t>I26_028256</t>
  </si>
  <si>
    <t>I26_028261</t>
  </si>
  <si>
    <t>I26_028383</t>
  </si>
  <si>
    <t>CIRVIE – B029-Incident sur le contrat n° 000000000069470 (VALSIN OMV)1) Référence(s) : Numéro de contrat : 0000000000694702) Situation attendue : Ne pas avoir de message Incident VALSIN OMV.3) Situation obtenue : L’incident « B029 – Incident sur ce contrat (VALSIN OMV) » se produit sur le contrat n° 000000000069470</t>
  </si>
  <si>
    <t>I26_028445</t>
  </si>
  <si>
    <t>CIRVIE - CONTRATS NON VISIBLES SUR LE BON PROFIL1) Référence(s): sociétaire: L36964C CAPRON ROBERT
2) Situation attendue : le contrat soit visible Sous Cirvie sur SMAVIE sociétaire L36964C3) Situation obtenue : les contrats sont visibles sur le profil PROBTP G58163Y</t>
  </si>
  <si>
    <t>I26_028446</t>
  </si>
  <si>
    <t>Problème de habilitation1) Référence(s) : Capture en PJ, contrat 42166, VIE GPE610, Badges (a27156, A24636)2) Situation attendue : Avoir accès aux dossiers cirvie3) Situation obtenue : Madame Garrec nous informe qu'elle n'a plus d'accès a Cirvie.Ils sont plusieurs à avoir le même problème.Message d'erreur sur un manque "pas d'habilitation à consulter ces infos" (Voir PJ).
Apparemment, Ils ont changés de RC hier, Ils ont fusionnés avec la Normandie.
Sa collègue de Brest a le même problème.
Une autre collègue a Rennes (A24636) a le même problème.</t>
  </si>
  <si>
    <t>I26_028492</t>
  </si>
  <si>
    <t>CABRAL, Suzanne</t>
  </si>
  <si>
    <t>I26_028498</t>
  </si>
  <si>
    <t>Problème de RIB1) Référence(s) : Numéro sociétaire : C06113J, Mail en PJ
2) Situation attendue : Suppression du Rib
3) Situation obtenue : Nous avons reçu une demande de rachat avec un RIB non enregistré sur Cirvie.Sur la fiche de l’assuré, cinq RIB différents sont déjà enregistrés, la limite autorisée étant de cinq.Nous nous sommes donc rapprochés de l’assuré, qui nous a donné son accord pour supprimer les deux RIB figurant en pièces jointes.</t>
  </si>
  <si>
    <t>I26_028508</t>
  </si>
  <si>
    <t>L32612F PARE AUGUSTIN 
1) Référence :
2) Situation attendue : Avoir les avenants d'édités.
3) Situation obtenue: Mail reçu : Suite à l’ouverture des deux contrats BATI EPARGNE N°145948 et N°145949 par réemploi de capitaux décès aucun document « avenant de versement » n’a été édité.GED 2026-014384-1GED 2026-014385-1
Le contrat n'apparait pas aussi sous Coheris</t>
  </si>
  <si>
    <t>I26_028516</t>
  </si>
  <si>
    <t>M CAPITAL - Extension à deux nouvelles entités au 01/03/2025
1) Référence :
2) Situation attendue : Le souscripteur et payeur du contrat doit être le sociétaire L39742Y.
3) Situation obtenue: Le souscripteur et payeur du contrat est le sociétaire L18142E.
Cette modification est à effet du 01/01/2026, date d’effet du contrat.
Suite à une erreur de la part du courtier, pouvez-vous modifier le souscripteur et le payeur du contrat N°190601100004535 svp.</t>
  </si>
  <si>
    <t>KUZNICKI, Fabien</t>
  </si>
  <si>
    <t>I26_028688</t>
  </si>
  <si>
    <t>CIRVIE - BLOCAGE PF5
L'utilisatrice nous contacte car elle a un blocage PF5 en essayant de se connecter.</t>
  </si>
  <si>
    <t>I26_028689</t>
  </si>
  <si>
    <t>ACCES CIRVIEL'utilisatrice ne parvient plus à accéder à CIRVIE VIE.</t>
  </si>
  <si>
    <t>I26_028783</t>
  </si>
  <si>
    <t>CIRVIE - BLOCAGE PF5
L'utilisatrice nous contacte car elle a un blocage PF5 sur Cirvie.</t>
  </si>
  <si>
    <t>I26_028808</t>
  </si>
  <si>
    <t>Cirvie. Ajout Post-It ValSin.1) Référence(s) : Lié au I26_0137182) Situation attendue : Cumul des rachats dans Catb03 cohérent avec Catb02.3) Situation obtenue : Lors de la vérification du périmètre du I26_013718, il s'avère que le cumul des rachats stocké dans la Catb03 est différent du cumul des rachats enregistrés dans la Catb02.83 polices Mono89 polices Multi.8 avaient déjà un post-It ValSin OMVMerci d'enregistrer un Post-It ValSIN OMV avec blocage total pour les polices transmises dans le Txt ci-joint.</t>
  </si>
  <si>
    <t>I26_028979</t>
  </si>
  <si>
    <t>L'utilisatrice en tt nous informe que Cirvie ne s'ouvre pas</t>
  </si>
  <si>
    <t>I26_029017</t>
  </si>
  <si>
    <t xml:space="preserve">Cirvie - Contrats avec 2 avenants en situation ouverte dans POTB05 (Correction Programme)
1) Référence(s) : Suite I26_0196882) Situation attendue : Corriger le programme générant cette situation puis correction de données des nouveaux cas.3) Situation obtenue : 
MOE CT 12/03/2026 la résiliation CP50 a laissé les garanties dans POTB05 au statut ouvert 0002 il y a d autres contrats en cours dans ce cas cf proposition de correction ci jointe correction des avenants en cours à tort dans POTB05 par la capsule SQA19688_1. la majorité des cas récents concerne des contrats de prévoyance individuelle ayant eu une résiliation ( cmtfsta = 0014 ) mais il y a aussi des PER ENT).
select distinct (nopol) from  deb2v50fil/potb05                                                         where (cste, nopol, noavt999) not in                 (select cste, nopol, noavt999 from deb2v50fil/potb01  where csit = '0002')                                and csit = '0002'                                    </t>
  </si>
  <si>
    <t>I26_029086</t>
  </si>
  <si>
    <t>INCIDENT VALSIN
1) Référence(s) : Voir document / GED 2026-021224-1 / CONTRAT: 944222) Situation attendue : Correction de l'incident3) Situation obtenue : L'utilisatrice dois réaliser un arbitrage pour un passage en mode gestion déléguée, mais il existe un incident valsin sur ce contrat.</t>
  </si>
  <si>
    <t>I26_029129</t>
  </si>
  <si>
    <t>Cirvie. Tranfert externe non réglé de ma nière automatique. Correction programme.1) Référence(s) : Lié aux I26_026318 - I26_0262482) Situation attendue : règlement automatique des transferts externes si les conditions sont réunies.3) Situation obtenue : Voir analyse de la DSI (FP) du 07/04/2026.</t>
  </si>
  <si>
    <t>I26_029214</t>
  </si>
  <si>
    <t xml:space="preserve">CIRVIE : Annulation fichier primes 0700203920251114RGA1 
1) Référence(s) : Date de survenance : 27/01/2026 / Date de déclaration : 07/04/2026 2) Situation attendue : Correction CIRVIE : 6 quittances + base des commissions. Correction comptable des comptes courtiers 07001016 et 070020393) Situation obtenue : Rattrapage Henner 0700203920251114RGA1. L’annulation des commissions pour les quittances 7080522, 7080523, 7080524, 7080525,7080526 et 7080364 n'a pas été faite correctement car pour les 3 contrats il y a eu un avenant de changement d'apporteur : l'annulation de la commission d'apport a été faite à tort sur le compte du courtier 07001016.
la liste des quittances en anomalie en rouge :
Somme de MCOMM
REFVIR
CDCOURTIER
TYRGL
07002039202511140001
0700203920251114RGA1
0700203920251114RGE1
Total général
07001016
07002039
07001016
07002039
07001016
07002039
NOPOL
NOQUI
P
P
V
P
P
V
P
V
P
V
190601100002769
000000006984632
-62,62
-62,62
000000006984633
-80,5
-80,5
000000006984634
2844,43
2844,43
000000006984635
66,89
66,89
000000007080522
36,53
26,09
62,62
000000007080523
43,91
36,59
80,5
000000007080524
-1551,51
-1292,92
-2844,43
000000007080525
-39,02
-27,87
-66,89
000000007083214
-26,09
-36,53
-62,62
000000007083215
-36,59
-43,91
-80,5
000000007083216
1292,92
1551,51
2844,43
000000007083217
27,87
39,02
66,89
Total 190601100002769
2768,2
-1510,09
-1258,11
1258,11
1510,09
2768,2
190601100002770
000000006984636
20,13
20,13
000000007080526
-10,9
-9,23
-20,13
000000007083218
9,23
10,9
20,13
Total 190601100002770
20,13
-10,9
-9,23
9,23
10,9
20,13
190501100001483
000000006984474
821,81
821,81
000000007080364
-308,18
-513,63
-821,81
000000007083056
513,63
308,18
821,81
Total 190501100001483
821,81
-308,18
-513,63
513,63
308,18
821,81
 </t>
  </si>
  <si>
    <t>I26_029220</t>
  </si>
  <si>
    <t>CIRVIE - Garantie a ajouter sur Contrat Prévoyance 
1) Référence(s) : Contrat n°190501100002405 / SOCIETE SCHRADER 2) Situation attendue : Ajouter la garantie Frais d’obsèques au 01/01/2026.3) Situation obtenue : Pouvoir ajouter la garantie frais d'obsèques au 01/01/2026.</t>
  </si>
  <si>
    <t>I26_029224</t>
  </si>
  <si>
    <t>CIRVIE - SECTEUR RENTES COLLECTIVES / NIR obligatoire non saisissable
1) Référence(s): Affilié n°75439 / Affiliation n°100050565 / Contrat n°138309
2) Situation attendue: Saisir le numéro de Sécurité sociale (NIR) de l’affilié car la saisie est obligatoire pour liquider un PER ENTREPRISE en Terme Unique.
3) Situation obtenue: L’affilié est né en décembre (mois 12) mais le mois du NIR est 51. PE01 Message bloquant : X642 Incohérent avec année de naissance</t>
  </si>
  <si>
    <t>I26_029237</t>
  </si>
  <si>
    <t>SMAVie Courtage - Remise en vigueur contrat 1) Référence(s): Sociétaire n° : K09419T / Nom : KRONPRINZ TROYES SAS / Contrat n° 190601100004337
2) Situation attendue : Remettre en vigueur le contrat n° 190601100004337 afin de rembourser les cotisations au délégataire de gestion.3) Situation obtenue : Le contrat n° 190601100004337 a été résilié sans effet par erreur.</t>
  </si>
  <si>
    <t>I26_029270</t>
  </si>
  <si>
    <t>CIRVIE - Anomalie EDB960
1) Référence(s) : OMV le 08/04/20262) Situation attendue : Quelle est la nature de cette anomalie ? Merci de faire le nécessaire et voir les impacts.3) Situation obtenue : Anomalie dans le traitement EDB960
|Nø |TABLE |ACTION |CR|POLICE         |CLE 2d         |MSG---------------------------------------------------------------------------------------|001|PMS001|CALCEP |VL|000000000145419|BFT / 202604078||002|PMS001|CALCEP |VL|000000000144698|BFT / 202604074|</t>
  </si>
  <si>
    <t>I26_029278</t>
  </si>
  <si>
    <t>INTERET NON COMPTABILISE LORS DE LA TRANSFORMATION FOURGOUS
1) Référence(s) : Contrat : 000000000142202 / SC 284463A / RODIERE HENRI GRC 3748742) Situation attendue : Calculer le montant des intérêts du 31/12/2024 et le 21/03/2025 afin de pouvoir faire un abondement sur le nouveau contrat.3) Situation obtenue : L'utilisatrice a une transformation FOURGOUS qui a été fait le 21/03/2025 sur le contrat 002844636921000. Ce jour, le BD revient vers eux car le sociétaire a dû recevoir le relevé annuel, il a été conclu que les intérêts du 1er trimestre 2025 n’a pas été comptabilisé car la transformation du FOURGOUS annule le calcul des intérêts du trimestre.</t>
  </si>
  <si>
    <t>I26_029320</t>
  </si>
  <si>
    <t xml:space="preserve">ANOMALIE MOT DE PASSE CIRIVE 
1) Référence(s) : 
2) Situation attendue : Réinitialisation du mot de passe 
3) Situation obtenue: L'utilisatrice nous informe qu'elle n'arrive pas a se connecter a l'application vie de cirvie car son mot de passe est erroné 
 </t>
  </si>
  <si>
    <t>I26_029374</t>
  </si>
  <si>
    <t>CIRVIE - CALCUL DES INTERÊTS1) Référence(s): SC 284463A / Contrat : 0000000001422022) Situation attendue : calculer le montant des intérêts 3) Situation obtenue : Je me permets de venir vers vous concernant une transformation FOURGOUS qui a été fait le 21/03/2025 sur le contrat 002844636921000. Ce jour, le BD revient vers nous car le sociétaire a dû recevoir le relevé annuel, il a été conclu que les intérêts du 1er trimestre 2025 n’a pas été comptabilisé car la transformation du FOURGOUS annule le calcul des intérêts du trimestre.A ce titre je vous remercie de calculer le montant des intérêts du 31/12/2024 et le 21/03/2025 afin de pouvoir faire un abondement sur le nouveau contrat.</t>
  </si>
  <si>
    <t>I26_029379</t>
  </si>
  <si>
    <t>PROBLEME D'ABONDEMENT MAL INVESTI
1) Référence(s) : GED 2026-019695-12) Situation attendue : L’assurée souhaite du 100% fonds euros. 3) Situation obtenue : L'utilisatrice nous informes que l'assurée est mécontente car l’abondement de 100€ a été investi à 90% sur le support euros et 10% sur COI. Victorine qui a saisi l’acte me confirme ne pas avoir choisi de support.</t>
  </si>
  <si>
    <t>I26_029403</t>
  </si>
  <si>
    <t>CIRVIE - ANNULATION CONTRAT
1) Référence(s) : Voir documents / N° SOCIETAIRE : G57422B / N° de contrat : 144698 PER CONFIANCE
2) Situation attendue : Pouvoir passer l’affaire nouvelle en sans effet et procéder au remboursement des quittances
3) Situation obtenue : Message d'incident sur ce contrat : Mouvement bloquant</t>
  </si>
  <si>
    <t>I26_029507</t>
  </si>
  <si>
    <t>CIRVIE - REMBOURSEMENT AVANCE
1) Référence(s) : Tâche : 2026-022380-1 / Sociétaire : 317938C - LEGRIX Bruno / Contrat : 003179386924000 BATI 1
2) Situation attendue : Lever l’incident pour que je puisse traiter l’opération.
3) Situation obtenue : Remboursement d’avance.Incident Valsin sur ce contrat, voir capture écran</t>
  </si>
  <si>
    <t>I26_029518</t>
  </si>
  <si>
    <t>CIRVIE - IMPOSSIBLE A OUVRIR
L'utilisatrice appelle car elle n'arrive pas à se connecter à Cirvie. Quand elle essaie, elle a un message qui dit qu'elle ne peut pas ouvrir Cirvie car elle ne peut pas allez sur ses anciens comptes.</t>
  </si>
  <si>
    <t>I26_029530</t>
  </si>
  <si>
    <t>DECES - INCIDENT VALSIN - Succession PEYGOURDI Thérèse Monique 
1) Référence(s) : Numéro de sociétaire : 262955L - PEYGOURDI Thérèse Monique - N° de contrat: 2629556924000 - Type contrat : BATIépargne2) Situation attendue : Consultation UC50 – consultation PO253) Situation obtenue : msg bloquant - B029-Incident sur ce contrat (VALSIN OMV)</t>
  </si>
  <si>
    <t>I26_029534</t>
  </si>
  <si>
    <t>Transformation fourgous contrat Prestige N° 002444666934001 N° SC515379T
1) Références : - Secteur : SER I - Outil : CIRVIE - Type du sinistre : transformation fourgous - N° SOCIETAIRE : 515379T - N° de contrat : 002444666934001 - Montant PM : 29 135,58 € - Date d'effet sinistre : 26/03/20262) Situation attendue : Pouvoir passer procéder à la transformation fourgous 3) Situation obtenue : Message d'incident sur ce contrat : (voir capture mail)</t>
  </si>
  <si>
    <t>I26_029536</t>
  </si>
  <si>
    <t xml:space="preserve">317950L TARTIVEL transformation contrat BR en BATI EPARGNE 145751
1) Référence(s) : 
2) Situation attendue : Correction de l'anomalie 
3) Situation obtenue: Mail reçu : Nous constatons une anomalie sur le certificat d’adhésion. Au niveau de la date d’effet du contrat : 26/01/2026 au lieu de la date d’effet d’origine du BR 30/03/1991
 </t>
  </si>
  <si>
    <t>I26_029560</t>
  </si>
  <si>
    <t>Transfert bloqué1) Référence(s) : PER affilié - Instance 26 742891, Mail en PJ2) Situation attendue : Pouvoir faire le transfert3) Situation obtenue : Monsieur Rygas nous informe que suite a une erreur il doit transférer une quittance en RP02.Le problème est que celle ci est bloquer car elle est considéré comme déjà effectué. (voir mail en PJ)</t>
  </si>
  <si>
    <t>I26_029580</t>
  </si>
  <si>
    <t>CIRVIE - Affiliation 000000100002646
1) Référence(s) : OMV le 09/04/20262) Situation attendue : Référence dossier 873068 pour laquelle l'affiliation 000000100002646, on doit alimenter :
Situation : 0003 ANNULEE Motif sit. : 0036 DECES3) Situation obtenue : Anomalie traitement EDB940
|Nø|TABLE |ACTION |CR|AFFILIATION |CLE |MSG |---------------------------------------------------------------------------------------|01|POTB32|DATA |99|000000100002646| |CSTA OU MTF KO |</t>
  </si>
  <si>
    <t>I26_029728</t>
  </si>
  <si>
    <t>I26_029758</t>
  </si>
  <si>
    <t>Demande d'information1/ Références :Voir mail en PJGED : 2026-016523-1SC 499522GContrat : 0000000001048901/ Situation attendue :indiquer le montant qui dois être racheter afin d’obtenir 1000 euros NET3/ Situation obtenue:
La sociétaire souhaite faire un rachat NET de 1000 euros sur son PERIN, pour motif RETRAITE.La date du rachat est le 08/04/2026</t>
  </si>
  <si>
    <t>I26_029893</t>
  </si>
  <si>
    <t>CIRVIE - cotisation par garantie - prévoyance
1) Référence(s) : Table GPTB12 / Ecran CIRVIE GP06
2) Situation attendue : Les montants de cotisation devraient correspondre.Cette anomalie ressemble à celle rencontrée lors de l’incident I26_001460
Pouvez-vous apporter votre expertise ?
3) Situation obtenue : Il existe des cotisations dont les montants des cotisations par garantie ne correspondent pas entre la table GPTB12 et l’AS400.Nous donnons l’exemple de la quittance 7117129.Pour la garantie 5316, nous avons 62€ d’écart entre ce qui est visible dans l’AS400 et la table GPTB12.Pour la garantie 5340, nous avons 40€ d’écart entre ce qui est visible dans l’AS400 et la table GPTB12.
Cette situation se produit pour d’autres quittances.</t>
  </si>
  <si>
    <t>I26_029900</t>
  </si>
  <si>
    <t>CIRVIE - Versement sur le mauvais contrat Impact IFU
1) Référence(s) : R-2026-05010 M HANNON XAVIER / N° Sociétaire : 270810V / Contrant : 135706 / voir document2) Situation attendue : Savoir quoi faire avec l'attestation Madelin.3) Situation obtenue : L'utilisatrice envoie un mail car elle s'est trompé sur un versement qui s'est fait sur le mauvais contrat BATIépargne au lieu de PERIN et bien qu'elle sait comment annuler la quittance, souhaiterait savoir quoi faire avec l'attestation Madelin.</t>
  </si>
  <si>
    <t>I26_029948</t>
  </si>
  <si>
    <t>CIRVIE – B029-Incident sur le contrat n° 000000000115209 (VALSIN OMV)1) Référence(s) : Numéro de contrat : 0000000001152092) Situation attendue : Ne pas avoir de message Incident VALSIN OMV.3) Situation obtenue : L’incident « B029 – Incident sur ce contrat (VALSIN OMV) » se produit sur le contrat n° 000000000115209</t>
  </si>
  <si>
    <t>I26_029962</t>
  </si>
  <si>
    <t>CIRVIE - Etonnements métier - Sinistres ouverts non réglés
1) Référence(s) : V. PAWELKO le 10/04/20262) Situation attendue : Analyse de la gestion et cloture des sinistres3) Situation obtenue : 37 sinistres sont ouverts mais non clos réglés</t>
  </si>
  <si>
    <t>I26_029963</t>
  </si>
  <si>
    <t>CIRVIE - Contrats ouverts sans quittance réglée
1) Référence(s) : V. PAWELKO le 10/04/20262) Situation attendue : Analyse de la gestion3) Situation obtenue : 10 contrats sont ouverts mais il n'y a aucune quittance réglée</t>
  </si>
  <si>
    <t>I26_029964</t>
  </si>
  <si>
    <t>CIRVIE - Personnes sans adresse de naissance
1) Référence(s) : V. PAWELKO le 10/04/20262) Situation attendue : Ajout de l'adresse de naissance3) Situation obtenue : Des personnes ont été créées sans adresse de naissance</t>
  </si>
  <si>
    <t>I26_029965</t>
  </si>
  <si>
    <t>CIRVIE - Personne sans NIR avec sinistre sur PER
1) Référence(s) : V. PAWELKO le 10/04/20262) Situation attendue : Ajout du NIR sur la personne3) Situation obtenue : 1 personne dont le NIR n'est pas renseigné et pour laquelle le NIR n'est pas renseignée.</t>
  </si>
  <si>
    <t>I26_029967</t>
  </si>
  <si>
    <t>CIRVIE - Versement PER sur compartiment non déductible
1) Référence(s) : V. PAWELKO le 10/04/20262) Situation attendue : Analyse et retour de la gestion3) Situation obtenue : 72 versements ne sont pas sur le compartiment déductible</t>
  </si>
  <si>
    <t>I26_029969</t>
  </si>
  <si>
    <t>CIRVIE - Etonnements métier - Courtage
1) Référence(s) : V. PAWELKO le 10/04/20262) Situation attendue : Analyse de la gestion3) Situation obtenue :
Contrats sans aucune quittance encaissée/Contrats sans cotisations mais avec des prestations
Contrats ayant 2 périodes consécutives échues sans cotisations
Quittances pour lesquelles le mode de commissionnement n'est pas conforme à celui connu dans Cirvie au niveau du contrat
Sociétaires pour lesquels les cotisations taxées à 20,27% dépassent celles taxées à 13,27%</t>
  </si>
  <si>
    <t>I26_030109</t>
  </si>
  <si>
    <t>Rachat : Simulation1) Référence(s) : Mail en PJ2) Situation attendue : réaliser une simulation pour savoir quel montant saisir sous CIRVIE 3) Situation obtenue : rachat sur un PER IN pour lequel notre sociétaire attend un montant net précis. 
GED : 2026-023043-2Sociétaire : 499522GContrat n° : 104890Montant rachat net attendu : 1 000€Taux PAS : N Date : 09/04/2026Motif : 0004 retraite</t>
  </si>
  <si>
    <t>I26_030150</t>
  </si>
  <si>
    <t xml:space="preserve">CIRVIE - Impossible de créer une instance suite rejet TESSI
1) Référence(s) : V. AUDREN le 10/04/20262) Situation attendue : Pouvez-vous modifier les tables BCE surement BETB02 et BETB04 afin que la comptabilité puisse enregistrer les instances dans CIRVIE.3) Situation obtenue : La comptabilité a 2 chèques qui ont rejetés lors de l'intrégration dans CIRVIE car les coupons ont été créés sur la société AUXILIAIRE (mauvais code produit sélectionné dans COHERIS par le conseiller) au lieu de SMAVIE.
Les chèques sont 0540574 d'un montant de 20000€ et 0540575 d'un montant de 30000€
Numéro de sociétaire 781382B.
Réfrence coupon : 200000000000000000085609 et 200000000000000000085610
 </t>
  </si>
  <si>
    <t>I26_030199</t>
  </si>
  <si>
    <t>I26_030222</t>
  </si>
  <si>
    <t xml:space="preserve">CIRVIE - PEUT PAS OUVRIR DE SESSION
L'utilisateur appelle car il ne peut pas ouvrir de session sur Cirvie. </t>
  </si>
  <si>
    <t>I26_030224</t>
  </si>
  <si>
    <t>CIRVIE - FRAIS MÉDICAUX
1) Référence(s) : Contrat : 0906011:  santé collective
Sinistres : 202600000005715202600000005717202600000005788202600000006862202600000006863202600000005791202600000005714202600000006033202500000037920
Polices : 190601100003496190601100003504190601100003998190601100001188190601100001189190601100004011190601100003494190601100001120190601100001956
2) Situation attendue : Il devrait y avoir une cohérence entre CIRVIE et le fichier SATSIN.Pouvez-vous apporter votre expertise
3) Situation obtenue : Les frais médicaux à certaines dates de facturation sont enregistrés dans CIRVIE mais absent en Compta (SATSIN).Cela engendre un écart de 19 072€.</t>
  </si>
  <si>
    <t>I26_030238</t>
  </si>
  <si>
    <t>CIRVIE - Anomalie traitement souscritpeur
1) Référence(s) : DSI le 10/04/20262) Situation attendue : Correction du programme pour le 13/043) Situation obtenue : 
Le traitement IDJ001 ne fonctionne plus correctement à la suite de la modification de l’index PEX102 dans le lot 1 2026. Les souscripteurs ne sont plus extraits alors qu’ils l’étaient auparavant. 
Avant la modification, l’index PEX102 était composé de NOPERS, CNAT et CSOC. Après la modification, l’index PEX102 est composé de NOPERS, CSOC et CNAT. La zone CSOC étant alimentée à blanc, la lecture du fichier PETB02 par cet index ne permet plus d’accéder à la nature SC de la personne et donc le souscripteur n’est plus extrait dans le fichier IDTB01 en sortie du traitement IDJ001. Nous accédons à la première nature de personne pour cette personne.  
Nous allons corriger le programme IDB001 pur que le code société soit alimentée à ‘02’, ‘07’ et ‘09’ lors de l’accès au fichier PETB02 par cet index. Nous avons le même problème dans le programme PEB500 (Retour NPAI).</t>
  </si>
  <si>
    <t>I26_030366</t>
  </si>
  <si>
    <t>Le Job A1P1CV0450 est en etat JOBFAILURE sur SMASPRO1 le 10/04/2026 a 22:38:19. RC=20
Ouvrir un incident
La suite s'est enchainée</t>
  </si>
  <si>
    <t>I26_030662</t>
  </si>
  <si>
    <t>I26_030745</t>
  </si>
  <si>
    <t>IMPOSSIBLE DE SE CONNECTER A VIEMme DENOYER nous appelle car elle n'arrive pas à se connecter à Vie dans CIRVIE.</t>
  </si>
  <si>
    <t>I26_030766</t>
  </si>
  <si>
    <t>I26_030789</t>
  </si>
  <si>
    <t>CIRVIE - PROBLEME TRANSMISSION DE MONTANT
1) Référence(s) : Voir documents / Sinistre décès prévoyance 202600000008364
2) Situation attendue : Correction programme CIRVIE
3) Situation obtenue : Prévoyance décès : le montant des post-mortem de 3,32 € n’a pas été transmis dans les CRE de règlement du sinistre</t>
  </si>
  <si>
    <t>I26_030880</t>
  </si>
  <si>
    <t xml:space="preserve"> Le Job XZP1SC324VM est en etat JOBFAILURE sur x24832pa le 13/04/2026 a 15:50:35. RC=1 </t>
  </si>
  <si>
    <t>I26_030899</t>
  </si>
  <si>
    <t>CIRVIE - TRANSFERT DE PORTEFEUILLE1) Référence(s) : OFRACAR code 07004821 &amp; OFRACAR FINANCES code 07008273 / Destinataire : HOWDEN code 22002044 / voir documents2) Situation attendue : Qu'on fasse le transfert3) Situation obtenue : L'utilisatrice envoie un mail afin de pouvoir faire un transfert CIRVIE du portefeuille dont les CT1 sont OFRACAR code 07004821 et OFRACAR FINANCES code 07008273 vers HOWDEN code 22002044 au 01.01.2026.</t>
  </si>
  <si>
    <t>I26_030927</t>
  </si>
  <si>
    <t>I26_030973</t>
  </si>
  <si>
    <t>Transformation impossible1) Référence(s) :-Secteur: SER I-Outil: CIRVIE-Type de sinistre: Transformation Fourgous-N° de sociétaire: 058332X-N° de contrat: 000386336921001
2) Situation attendue : Pouvoir faire la Transformation Fourgous sur le contrat n° 000386336921001
3) Situation obtenue : l'utilisatrice à reçu une demande de Transformation Fourgous sur le contrat n° 000386336921001 pour lequel il existe un incident : VALSIN OMV.Elle ne peu donc pas faire la demande de transformation</t>
  </si>
  <si>
    <t>I26_030995</t>
  </si>
  <si>
    <t xml:space="preserve"> Le Job A1P1CV0450 est en etat JOBFAILURE sur SMASPRO1 le 14/04/2026 a 00:24:39. RC=20 </t>
  </si>
  <si>
    <t>I26_031016</t>
  </si>
  <si>
    <t>PREMIERE CONNEXION CIRVIEMme MEZILA nous rappelle pour effectuer la première connexion sur CIRVIE.</t>
  </si>
  <si>
    <t>MEZILA, Julie</t>
  </si>
  <si>
    <t>I26_031021</t>
  </si>
  <si>
    <t>INCIDENT CIRVIE1) Référence(s) : Nom/prénom : DE LA ROCHEBROCHARD Christine - N° Sociétaire : 142317B - N° Contrat : 000000000142446 - Type Contrat : BATIEPARGNE2) Situation attendue : Pouvez-vous me dire pourquoi les dates d’effet ne sont pas identiques et me donner la marche à suivre pour une éventuelle correction ?3) Situation obtenue : Suite au transfert Fourgous du contrat BATI 1 n°001423176920000Les dates d’effet du BATI 1 et du Bati épargne de l’AFN ne sont les mêmes.</t>
  </si>
  <si>
    <t>I26_031066</t>
  </si>
  <si>
    <t>I26_031093</t>
  </si>
  <si>
    <t xml:space="preserve">Rente d'Invalidité 341910B  MAJOR/MAJOR+ PONS Jean Michel - URGENT - déclaration fiscale
1) Référence(s) :
2) Situation attendue : Répondre aux interrogations de l'utilisatrice 
3) Situation obtenue: Mail reçu : Selon la demande de l’assuré, ci-dessous, est il possible de rectifier la déclaration fiscale pour ventiler les sommes par année ? De produire une attestation fiscale ou un décompte précisant la ventilation des sommes par année de rattachement ? Notre courrier est joint, il s’agit de règlements qui ont été faits suite à arbitrage.
Il me semble que la date des versements fait foi, et non la période de référence auquelle elle se rapporte. En cela, l’année 2025 reste l’année de versement de la prestation, et la déclaration fiscale reste entièrement sur l’année 2025. 
 </t>
  </si>
  <si>
    <t>I26_031105</t>
  </si>
  <si>
    <t xml:space="preserve">FICHE AFFILIER TRAITÉ MAIS PAS RATTACHER AUX CONTRATS
1) Référence(s) : Voir Documents
2) Situation attendue : Que les affiliés soient bien rattachés au contrats référencé dans les CSV lors du traitement automatique.
3) Situation obtenue : M. SARR nous appelle car lorsqu'il regarde les affilié rattachés aux contrats sur CIRVIE via les documents CSV il voit qu'aucun affilié n'a été rattaché depuis le 10/04, alors qu'ils ont bien été déplacer du dossier RESTE_A_TRAITER dans TRAITÉ automatiquement.
 </t>
  </si>
  <si>
    <t>I26_031132</t>
  </si>
  <si>
    <t>Problème de connexionL'utilisatrice est bloquer sur Cirvie</t>
  </si>
  <si>
    <t>I26_031167</t>
  </si>
  <si>
    <t xml:space="preserve">ANOMALIE CERTIFICAT D'ADHESION VIE 
1) Référence(s) : N° Contrat :  146404 - Assuré :  146404
2) Situation attendue : Avoir les certificats de remonté 
3) Situation obtenue: L'utilisatrice nous informe qu'elle n'a pas les certificats d'adhésion vie de remonté sous edoc alors que celui ci est passé vendredi 
 </t>
  </si>
  <si>
    <t>DUPUY, Emilie</t>
  </si>
  <si>
    <t>I26_031190</t>
  </si>
  <si>
    <t xml:space="preserve">Cirvie. Dossier décès urgent. 2025 000000382501) Référence(s) : Gestion2) Situation attendue : Montants de la 990I et du net corrects3) Situation obtenue :
Merci de bien vouloir nous préparer une correction sur la base du mail ci-joint.
 </t>
  </si>
  <si>
    <t>I26_031290</t>
  </si>
  <si>
    <t>Problème de mot de passeL'utilisatrice n'arrive pas a rentrer dans cirvie</t>
  </si>
  <si>
    <t>I26_031292</t>
  </si>
  <si>
    <t xml:space="preserve">CIRVIE - IMPOSSIBLE D'ACCEDER A VIE
L'utilisatrice appelle car elle ne peut pas accéder à l'environnement VIE de Cirvie. </t>
  </si>
  <si>
    <t>MELIN, Perrine</t>
  </si>
  <si>
    <t>I26_031298</t>
  </si>
  <si>
    <t xml:space="preserve">Ouverture Décès - Post'it VALSIN OMV - DOMERGUE Geneviève
1) Référence(s) : Numéro de sociétaire : 363256Z - Numéro de contrat : 3443
2) Situation attendue : Envoyer une demande de pièces à la bénéficiaire avant le 17/04/2026 (délai eckert).
3) Situation obtenue: Post it « valsin omv » en PO25. Merci de bien vouloir les enlever.
 </t>
  </si>
  <si>
    <t>I26_031347</t>
  </si>
  <si>
    <t>CIRVIE - MODIFICATION DATE D'ENTREE COLLEGE
1) Référence : N° contrat : 190501100001130 / N° assuré : 000000000373173 / Date de naissance : 24/12/1968 / Assuré : AJAX JEAN-NOEL / voir documents
2) Situation attendue : Rectification date d'entrée dans le collègue.
3) Situation obtenue : L'utilisatrice envoie un mail car la date d'entrée dans le collègue est incorrect. Elle souhaiterait le modifier pour le 01/01/2024</t>
  </si>
  <si>
    <t>I26_031360</t>
  </si>
  <si>
    <t>CIRVIE - Anomalie courtier intégration cotisations courtage
1) Référence(s) : OMV le 14/04/20262) Situation attendue : Correction du programme afin que CIRVIE aille chercher le courtier correspondant à la période lors de l'intégration d'un fichier cotisation3) Situation obtenue : Lors de l'analyse de l'incident I26_029214 relatif aux commissions du courtier HENNER, nous nous sommes aperçus que lors de l'intégration d'un fichier de cotisation, CIRVIE n'allait pas chercher le courtier relatif à la période. De fait, les commissions ne sont pas affectées au bon courtier.
Exemple avec les fichiers suivants :
07002039202511140001 intégré dans CIRVIE le 18/11/2025
0700203920251114RGA1 intégré dans CIRVIE le 27/01/2026
3 contrats sont impactés : 190601100002769, 190601100002770 et 190501100001483
cf fichier en pièce jointe.</t>
  </si>
  <si>
    <t>I26_031409</t>
  </si>
  <si>
    <t>INCIDENT VALSIN 
1) Référence(s) : Voir document / SC F53119N GALL / GED 2026-023607-2 / N° de contrat: 895142) Situation attendue : Correction de l'incident VALSIN.3) Situation obtenue : Ils ont reçu une demande de changement de RIB sur le contrat n° 89514 pour lequel il existe un incident : VALSIN OMV</t>
  </si>
  <si>
    <t>I26_031411</t>
  </si>
  <si>
    <t xml:space="preserve">CHANGEMENT DU VERSEMENT IMPOSSIBLE
1) Référence(s) : Voir document / N° de sociétaire : C58181T / Contrat: 1074919000020702) Situation attendue : Les fonds doivent être sur le compte SMAVie.3) Situation obtenue : Impossible de passer le versement libre : coupon du chèque sur Auxiliaire.
Le conseiller a généré un coupon sur le code produit 1074989 au lieu de 1074919.
Référence opération dans BETB02 : 200000000000000000085639
 </t>
  </si>
  <si>
    <t>I26_031420</t>
  </si>
  <si>
    <t>PROBLEME D'ADRESSE MAIL NON MODIFIABLE
1) Référence(s) : 10151459 : MME GUESNOT FLORENCE 2) Situation attendue : Conserver l'adresse mail flore.guesnot@mailo.com.3) Situation obtenue : Pour ce sociétaire l’adresse email ne se conserve pas . Elle a beau la modifier dans CIRVIE puis sous COHERIS le même jour mais le lendemain, l’adresse mail disparaît.</t>
  </si>
  <si>
    <t>CAUCHOIS, Laure</t>
  </si>
  <si>
    <t>I26_031422</t>
  </si>
  <si>
    <t>PROBLEME D'ADRESSE MAIL NON MODIFIABLE
1) Référence(s) : 450036 - M VAN WIJCK CLEMENT 2) Situation attendue : Conserver l'adresse mail clemelec95@gmail.com.3) Situation obtenue : Pour ce sociétaire l’adresse email ne se conserve pas . Elle a beau la modifier dans CIRVIE puis sous COHERIS le même jour mais le lendemain, l’adresse mail disparaît.</t>
  </si>
  <si>
    <t>I26_031450</t>
  </si>
  <si>
    <t xml:space="preserve"> Le Job A1P1CV0450 est en etat JOBFAILURE sur SMASPRO1 le 15/04/2026 a 00:43:43. RC=20 
Pas de Dex</t>
  </si>
  <si>
    <t>I26_031512</t>
  </si>
  <si>
    <t>Problème de quittance1) Référence(s) : Mail en PJ, contrat n°146117, 2 captures d'écran en PJ2) Situation attendue : Débloquer la quittance3) Situation obtenue : L'utilisatrice nous informe que sur le contrat cité, aucun prélèvement n'a été initié.Pourtant la quittance n° 7123499 apparait en cours sur GP06 et aucun courrier de rejet n’a été envoyé.Le contrat prévoyait un versement initial de 200€.L'utilisatrice ne comprend pas ou est le problème, d'autant que sur cirvie dans le récapitulatif du contrat la PM valorisé est à 0 (PJ PM 0) alors que la quittance est à 200 est considérée en cours (PJ quittance 200)</t>
  </si>
  <si>
    <t>I26_031553</t>
  </si>
  <si>
    <t>Cirvie - Solde BAI négatif
1) Référence(s) : Contrat 934512) Situation attendue : Annuler les frais de gestion du 31/03/2026 sur le support BAI.3) Situation obtenue : PM du support négatif dû au sinistre 202600000008627</t>
  </si>
  <si>
    <t>I26_031606</t>
  </si>
  <si>
    <t>ACCES CIRVIE VIE1) Référence(s) :2) Situation attendue : Accès à CIRVIE VIE.3) Situation obtenue : L'accès à CIRVIE VIE ne fonctionne pas pour deux nouvelles arrivantes (A1AG71 Laurence GRANDIN - A1AG92 Lisa RUTKOWSKI). Le mot de passe par défaut ne fonctionne pas.</t>
  </si>
  <si>
    <t>GRANDIN, Laurence</t>
  </si>
  <si>
    <t>RUTKOWSKI, Lisa</t>
  </si>
  <si>
    <t>I26_031633</t>
  </si>
  <si>
    <t>I26_031645</t>
  </si>
  <si>
    <t>Le Job XZP1SC3252 est en etat JOBFAILURE sur x24812pa le 15/04/2026 a 12:50:15. RC=3
Ouvrir un Incident</t>
  </si>
  <si>
    <t>I26_031668</t>
  </si>
  <si>
    <t>ECRAN NOIRLe Site Central s’ouvre avec un écran noir en mode Déconnecté.</t>
  </si>
  <si>
    <t>I26_031708</t>
  </si>
  <si>
    <t>INCIDENT VALSIN SUR CONTRAT1) Référence(s): Contrat: 000000000084776 / sociétaire: 371707Y
2) Situation attendue : réaliser l'arbitrage3) Situation obtenue : Je dois réaliser un arbitrage pour un passage en mode gestion déléguée, mais il existe un incident valsin sur ce contrat.</t>
  </si>
  <si>
    <t>I26_031833</t>
  </si>
  <si>
    <t>INCIDENT VALSIN SUR CONTRAT 1) Référence(s): contrat: 847592) Situation attendue : corriger l'anomalie3) Situation obtenue : incident valsin sur le contrat en reference</t>
  </si>
  <si>
    <t>I26_031972</t>
  </si>
  <si>
    <t>CIRVIE - Anomalie courrier
1) Référence(s) : OMV le 16/04/20262) Situation attendue : Analyse DSI : L'anomalie de ce matin est un rejet sur un courrier bordereau comptable collectif (code BCRT) sur le contrat 33094, l’affilié 259676 : le catalogue SMA_SIN2 qui contient les montants du sinistre est absent.Je pense qu’il faudrait créer un incident pour connaître la raison de cette absence.3) Situation obtenue : Anomalie CTRLCOUR
 60.839   Rejet   8.790.301   000000000033094   BCRT    GDB026-16/04/2026-03:34:38- Le catalogue SMA_SIN2 est manquant.</t>
  </si>
  <si>
    <t>I26_032014</t>
  </si>
  <si>
    <t>incident valsin sociétaire 303483Y // contrat 003034836920003
1) Références : Secteur : SER I - Outil : CIRVIE - Type du sinistre : Rachat total - Numéro de sociétaire: 303483Y - N° de contrat: 003034836920003 - Montant du rachat : 23 998,23 € - Date d'effet: 10/04/20262) Situation attendue : Pouvoir traiter la demande de rachat du sociétaire3) Situation obtenu : Incident sur le contrat VALSIN</t>
  </si>
  <si>
    <t>I26_032058</t>
  </si>
  <si>
    <t xml:space="preserve">Règlement facture honoraire
1) Référence(s) : Emetteur : MOAC - Référence incident MOAC : I04665 - Référence incident D&amp;N : - Urgence : HAUTE
Assigné à :  OMV - Périmètre : Application concernée : CIRVIE - Fonction concernée : IJ
2) Situation attendue : Date de la facture et n° de facture transmise dans le CRE 
3) Situation obtenue : Transmettre les données nécessaires afin de débloquer les CRE 
 </t>
  </si>
  <si>
    <t>I26_032062</t>
  </si>
  <si>
    <t xml:space="preserve">Erreur gestion / rachat PROBTP 
1) Référence(s) : Numéro sociétaire : G51534D - Numéro de contrat : 000000000140958 - Numéro sinistre : 2026 00000005992
2) Situation attendue : Pourriez-vous nous indiquer les différentes options possibles afin de régulariser la situation ?
3) Situation obtenue: Nous avons reçu une demande de rachat partiel de 1300 euros mais nous avons malheureusement fait un rachat total a la place.L’assuré a reçu les fonds le 13/04/2026. Il ne souhaite pas clôturer son contrat.
 </t>
  </si>
  <si>
    <t>I26_032160</t>
  </si>
  <si>
    <t xml:space="preserve">Rejet VL SIGMA GROUPE SARL  - CONTRAT 116389 GED 2026-014517-1 - SC H90475X 
1) Référence(s) : N° sociétaire : H90475X - N° contrat : 116389 - Nom prénom : SIGMA GROUPE SARL
2) Situation attendue : Réaliser un VL de 250 000€ sur le RIB 02 du payeur CL 371826 CARPA de la loire sur le contrat 116389 Les fonds sont destinés à un nantissement 
3) Situation obtenue: Le prélèvement a été rejeté 2X au motif coordonné bancaires inexploitables, pourtant le RIB enregistré sur le PE01 du payeur 371826 Le payeur est un cabinet d’avocats, en charge d’une délégation de créance, avec notre sociétaire titulaire du contrat.
 </t>
  </si>
  <si>
    <t>I26_032173</t>
  </si>
  <si>
    <t>I26_032212</t>
  </si>
  <si>
    <t>CIRVIE - INCIDENT VALSIN
1) Référence(s) : N° de sociétaire: 597014V / N° de contrat: 33467 / voir documents
2) Situation attendue : Correction de l'anomalie3) Situation obtenue : L'utilisatrice envoie un mail car elle a reçu deux demandes de rachat sur le contrat n° 33467 pour lequel il existe un incident : VALSIN OMV.</t>
  </si>
  <si>
    <t>I26_032220</t>
  </si>
  <si>
    <t>CIRVIE - RCAN Contrat 31638
1) Référence(s) : Numéro sociétaire : 361342V - Numéro de contrat : 000000000031638
2) Situation attendue : Pourriez- vous nous apporter une réponse que nous transmettrions à l’assuré ou nous informer vers quel service devons-nous nous orienter.
Pour le contrat 000000000001873, dans le RCAN la zone "cumul des versements bruts effectués sur le contrat avant le 27/09/2017 et non rachetés au 31/12/2025" devrait être alimentée à 309 918,76€.
3) Situation obtenue : Nous avons reçu une demande de l’assuré en objet que vous trouverez ci-joint en capture écran.Il ne comprend pas pourquoi la somme du cumul des versements ne correspond pas au cumul des transfert entrant.
Après analyse, il s'avère que le RCAN du contrat 31638 est correct, mais cet assuré détient également le contrat 000000000001873 pour lequel le RCAN est erroné pour la zone "cumul des versements bruts effectués sur le contrat avant le 27/09/2017 et non rachetés au 31/12/2025". Il est indiqué un montant de 457 347,05€.</t>
  </si>
  <si>
    <t>I26_032312</t>
  </si>
  <si>
    <t xml:space="preserve"> Le Job A1P1CV2406 est en etat JOBFAILURE sur SMASPRO1 le 17/04/2026 a 00:46:06. RC=20 
Ouvrir un incident</t>
  </si>
  <si>
    <t>I26_032313</t>
  </si>
  <si>
    <t xml:space="preserve">Le Job A1P1CV1653 est en etat JOBFAILURE sur SMASPRO1 le 17/04/2026 a 00:57:03. RC=20
Ouvrir un incident </t>
  </si>
  <si>
    <t>I26_032468</t>
  </si>
  <si>
    <t xml:space="preserve">SOLDE COMP A+B+C &lt; 0 - RCAN EI 2025
1) Référence(s) : Date du forum : 17/04/2026
2) Situation attendue : Le RCAN 2025 doit être généré.
3) Situation obtenue: SOLDE COMP A+B+C &lt; 0 (produit : 0116994) sur la police 143528 -&gt; SUPPORT = RIM / -     0,00116   
 </t>
  </si>
  <si>
    <t>I26_032471</t>
  </si>
  <si>
    <t xml:space="preserve">GED 2026-026280-1 rachat total PERIN BF07
1) Référence(s) : 
2) Situation attendue : Répondre aux interrogations de l'utilisatrice  
3) Situation obtenue: Je reviens vers vous au sujet de la GED en objet.Le sociétaire souhaite un rachat total de son PERIN pour achat de résidence principale.La PM est de 205600,19 € nous devons faire une demande de taux PAS en BF07 cependant le sociétaire est né en Espagne et le message ci-dessous s’affiche : (voir capture mail)
ES 315136
Pouvez vous m’indiquer comment procéder à la saisie en BF07 dans les meilleurs délais ?
 </t>
  </si>
  <si>
    <t>I26_032514</t>
  </si>
  <si>
    <t xml:space="preserve">Suppression RIB type 10 - SC 505597W 
1) Référence(s) : 
2) Situation attendue : Pourriez-vous supprimer le RIB 10 svp ? 
3) Situation obtenue: Suite à une erreur à la constitution d’une GED, j’ai enregistré un RIB au nom de MR OLIVIER Philippe dans le dossier de son frère, MR OLIVIER Jean-BenoîtN’ayant pas immédiatement vu la différence prénom, je l’ai enregistré sous le type 10 , sur le dossier personne : 
 </t>
  </si>
  <si>
    <t>I26_032515</t>
  </si>
  <si>
    <t xml:space="preserve">Sinistre 202600000005350 // SC G26002U // MAHIEUX Arnaud // Rachat
1) Référence(s) : Tache numéro : 2026-026436-1
Nom/prénom N° Sociétaire N° Contrat Type ContratMAHIEUX Arnaud G26002U 000000000111109 PERConfian
2) Situation attendue : Le montant du rachat partiel à saisir ne permet pas d’avoir la PM restante &gt;= 750,00€.Pouvez-vous me communiquer le bon montant ?
3) Situation obtenue: Le sinistre 2026-5350 est ressorti en anomalie pour PM restante inférieure à 750€.Voir mail joint.
 </t>
  </si>
  <si>
    <t>I26_032522</t>
  </si>
  <si>
    <t xml:space="preserve">MAHEY SAS 062755D 
1) Référence(s) : N° de sociétaire : 062755D
2) Situation attendue : Le RIB 01 doit passer en TYPE 02, Le RIB 02 doit passer en TYPE 12
3) Situation obtenue: les types des RIB sont en 01 et en 10 : personnel
 </t>
  </si>
  <si>
    <t>I26_032577</t>
  </si>
  <si>
    <t xml:space="preserve">IMPOSSIBLE DE SAISIR UN ENCAISSEMENT
1) Référence(s) : Voir Documents
2) Situation attendue : Pouvoir modifier le contenu de CENTRE.
3) Situation obtenue : Mme GRANDIN nous appelle car elle ne peut pas saisir d'encaissement, quand elle est au choix d'encaissement elle est censé pouvoir modifier l'option "CENTRE" pour mettre 33, au lieu de cela il y a un F fixe. Même en faisant tabulation cela ne nous emmène pas sur ce "F".
 </t>
  </si>
  <si>
    <t>I26_032601</t>
  </si>
  <si>
    <t>I26_032616</t>
  </si>
  <si>
    <t>Compte bloquéL'utilisatrice est bloqué sur un travail</t>
  </si>
  <si>
    <t>I26_032657</t>
  </si>
  <si>
    <t>CIRVIE - REMISE EN VIGUEUR
1) Référence(s) : Voir documents / N° de sociétaire : 504661L / Affilié : 334995
2) Situation attendue : Remise en vigueur de l’affilié 334995 au 06/10/2022
3) Situation obtenue : affilié radié le 17/04/2026</t>
  </si>
  <si>
    <t>I26_032673</t>
  </si>
  <si>
    <t>IFU TER non remontés dans les SEL
1) Référence(s) : OMV le 17/04/2026
Assuré : 0000000000716492) Situation attendue : Remontée de l'IFU dans les SEL + Périmètre3) Situation obtenue : Suite à une réclamation d'une cliente VIP, je viens de constater que son IFU TER n'est pas disponible dans les SEL. Après analyse, je constate dans ADOC que l'IFU est rattaché au contrat 120179 sur lequel il y a eu un rachat total en 2025. Néanmoins, cette personne a d'autres contrats en cours, donc elle devrait pouvoir consulter son IFU dans les SEL.
cf pièce jointe</t>
  </si>
  <si>
    <t>I26_032890</t>
  </si>
  <si>
    <t>CIRVIE - DEMANDE DE DEBLOCAGE
1) Référence(s) : Sociétaire : 375086H / Contrat : 000000000101475
2) Situation attendue : Correction de l'anomalie.
3) Situation obtenue : Mail reçu : "Bonjour, Je me permets de venir vers vous afin de vous solliciter car je suis bloqué pour cette demande de rachat pour Mme LAMBERT. Je ne sais pas si c’est au service juridique de procéder au déblocage. La cellule TRACFIN a déjà effectué les déblocages à leur niveau."</t>
  </si>
  <si>
    <t>I26_032917</t>
  </si>
  <si>
    <t>URGENT---NUMERO DE SOCIETAIRE NE REMONTE PAS SUR CERVIE
1) Référence(s) : L40308W2) Situation attendue :pouvoir faire remonter le numéro de sociétaire3) Situation obtenue :au moment de créer la tache GED, un message "numero de souscripteur non trouvé.conséquence, impossible d'envoyer la tache GED - il n'y a pas de numéro d'assuré lié au contrat SMAVIEBTP juste un numéro de sociétaire.</t>
  </si>
  <si>
    <t>I26_033008</t>
  </si>
  <si>
    <t>CIRVIE - INCIDENT VALSIN
1) Référence(s) : - Secteur : SER I- Outil : CIRVIE- Type du sinistre : RACHAT PARTIEL- N° SOCIETAIRE : 315928D Ctt : 6924000- Date d'effet du RACHAT PARTIEL  17/04/2026
2) Situation attendue : Saisie d'un PARTIEL sous CIRVIE
3) Situation obtenue : Le message "INCIDENT VALSIN apparaît au moment de la saisie du de l’opération.</t>
  </si>
  <si>
    <t>I26_033110</t>
  </si>
  <si>
    <t>INCIDENT VALSIN
1) Référence(s) : GED : 2026-026736-1 / SC 068802C / Contrat : 000000000012474 / Voir document
2) Situation attendue : correction de l'anomalie.3) Situation obtenue : La sociétaire souhaite un rachat partiel sur ce contrat mais sur cirvie l'utilisatrice a un incident VALSIN.</t>
  </si>
  <si>
    <t>I26_033126</t>
  </si>
  <si>
    <t>INCIDENT PACTE ADJOINT1) Référence(s) : SOC : C44170B2) Situation attendue : Correction de l'anomalie.3) Situation obtenue : Mail reçu :Je dois réaliser une demande d’arbitrage sur le contrat ci-dessus mais il existe un incident pacte sur ce contrat.</t>
  </si>
  <si>
    <t>I26_033150</t>
  </si>
  <si>
    <t>INCIDENT CIRVIE1) Référence(s) :CIRVIESOC : Contrat : 1074919000071212) Situation attendue : faire un sans effet administratif pour annuler l’affaire nouvelle, j’ai annulé la quittance réglée en délai en GP15, et j’ai voulu faire AD253) Situation obtenue : impossible de faire le sans effet administratif en AD25Le BD souhaite qu’on mette la date d’effet au 01/12/2025</t>
  </si>
  <si>
    <t>I26_033153</t>
  </si>
  <si>
    <t>ANOMALIE RECHERCHE1) Référence(s) : 2) Situation attendue : Correction de l'anomalie.3) Situation obtenue : Mail reçu :Je n’arrive pas a utiliser CIRVIE : il garde en mémoire les anciennes recherches et n’interroge pas les bases.</t>
  </si>
  <si>
    <t>I26_033189</t>
  </si>
  <si>
    <t xml:space="preserve"> Le Job A1P1CI8025 est en etat JOBFAILURE sur SMASPRO1 le 20/04/2026 a 23:52:44. RC=20 ANAEL : PB TRAITEMENT IMPORT EXCEL1) Référence(s) :Emetteur: MOACGravité : HauteAssigné à : DSI – ExpPérimètre : ANAEL – Traitement import ExcelSujet : Problème de transfert de fichier Windows  AS400Date de survenance : 20/04/2026 Date de déclaration: 20/04/20262) Situation attendue : 3) Situation obtenue : Mail reçu : Le processus d'import de fichiers Excel vers ANAEL repose sur le flux suivant :1. Dépôt du fichier .csv dans S:\DCG\E_EXPORT\ANAELImportExcel2. Un job tourne toutes les 5 min, déplace le fichier vers le répertoire de sauvegarde3. Le fichier est transféré dans l'IFS AS400 sous /home/ANAEL_IMPORT4. ANAEL déclenche le traitement et produit un compte-renduIncident depuis 16h33- Le fichier est bien capté côté Windows et déplacé dans le répertoire de sauvegarde - Le fichier n'est pas transféré dans l'IFS sous /home/ANAEL_IMPORT- Le compte-rendu de traitement généré par ANAEL est vide</t>
  </si>
  <si>
    <t>I26_033179</t>
  </si>
  <si>
    <t>I26_033192</t>
  </si>
  <si>
    <t xml:space="preserve"> 
 Le Job A1P1CV2411 est en etat JOBFAILURE sur SMASPRO1 le 21/04/2026 a 00:46:59. RC=20 21/04/2026 0:47:03
 Le Job A1P1CV2406 est en etat JOBFAILURE sur SMASPRO1 le 21/04/2026 a 00:47:02. RC=20 21/04/2026 0:47:03
 ANAEL : PB TRAITEMENT IMPORT EXCEL1) Référence(s) :Emetteur: MOACGravité : HauteAssigné à : DSI – ExpPérimètre : ANAEL – Traitement import ExcelSujet : Problème de transfert de fichier Windows  AS400Date de survenance : 20/04/2026 Date de déclaration: 20/04/20262) Situation attendue : 3) Situation obtenue : Mail reçu : Le processus d'import de fichiers Excel vers ANAEL repose sur le flux suivant :1. Dépôt du fichier .csv dans S:\DCG\E_EXPORT\ANAELImportExcel2. Un job tourne toutes les 5 min, déplace le fichier vers le répertoire de sauvegarde3. Le fichier est transféré dans l'IFS AS400 sous /home/ANAEL_IMPORT4. ANAEL déclenche le traitement et produit un compte-renduIncident depuis 16h33- Le fichier est bien capté côté Windows et déplacé dans le répertoire de sauvegarde - Le fichier n'est pas transféré dans l'IFS sous /home/ANAEL_IMPORT- Le compte-rendu de traitement généré par ANAEL est vide</t>
  </si>
  <si>
    <t>I26_033194</t>
  </si>
  <si>
    <t xml:space="preserve"> Le Job A1P1CV2605 est en etat JOBFAILURE sur SMASPRO1 le 21/04/2026 a 00:14:07. RC=20 ANAEL : PB TRAITEMENT IMPORT EXCEL1) Référence(s) :Emetteur: MOACGravité : HauteAssigné à : DSI – ExpPérimètre : ANAEL – Traitement import ExcelSujet : Problème de transfert de fichier Windows  AS400Date de survenance : 20/04/2026 Date de déclaration: 20/04/20262) Situation attendue : 3) Situation obtenue : Mail reçu : Le processus d'import de fichiers Excel vers ANAEL repose sur le flux suivant :1. Dépôt du fichier .csv dans S:\DCG\E_EXPORT\ANAELImportExcel2. Un job tourne toutes les 5 min, déplace le fichier vers le répertoire de sauvegarde3. Le fichier est transféré dans l'IFS AS400 sous /home/ANAEL_IMPORT4. ANAEL déclenche le traitement et produit un compte-renduIncident depuis 16h33- Le fichier est bien capté côté Windows et déplacé dans le répertoire de sauvegarde - Le fichier n'est pas transféré dans l'IFS sous /home/ANAEL_IMPORT- Le compte-rendu de traitement généré par ANAEL est vide</t>
  </si>
  <si>
    <t>I26_033308</t>
  </si>
  <si>
    <t xml:space="preserve">CIRVIE – REINITIALISATION MDP
Suite à son retour de congés, l’utilisatrice n’a plus son mot de passe CIRVIE.
 </t>
  </si>
  <si>
    <t>HOUPEAUX, Karine</t>
  </si>
  <si>
    <t>I26_033411</t>
  </si>
  <si>
    <t>DWH CIRVIE</t>
  </si>
  <si>
    <t>DWH ASUR VIE : Non prise en compte des fichiers d'entrée par les traitements du 20/04 soir.1) Référence(s) : P1DV15T - P1DV35T - P1DV45T - P1DV25T - P1DV26TRépertoire d'entrée : s:\sat\ACTUARIAT TECHNIQUE\SOLVENCY II\PROD_ASUR\2) Situation attendue : Prise en compte par les traitements des fichiers déposés par les Métiers dans le répertoire d'entrée3) Situation obtenue : Les fichiers n'ont pas été transférés en entrée des batchs (incident en cours sur certains transferts ConnectDirect). Impact : arrêté comptable 1T2026. Traitements à relancer dès que possible en journée
Mail utilisateur 21/04 : "[...] Les fichiers d’input sont toujours présents dans le répertoire, et les outputs correspondent exactement au même output des traitements du 17/04/2026 soir.</t>
  </si>
  <si>
    <t>MASSIMINO, Marc</t>
  </si>
  <si>
    <t>I26_033484</t>
  </si>
  <si>
    <t>I26_033491</t>
  </si>
  <si>
    <t>I26_033544</t>
  </si>
  <si>
    <t>I26_033593</t>
  </si>
  <si>
    <t>OUVERTURE D&amp;N - REFERENCE I046701) Référence(s) :Emetteur : MOACRéférence incident MOAC : I04670Référence incident D&amp;N : Urgence : HAUTEAssigné à : OMVPérimètre :· Application concernée : CIRVIESujet : Ecart bande de virement et ANAEL Date de survenance : 20/04/2026Date de déclaration : 21/04/2026 2) Situation attendue : Analyse pour correction ANAEL et CIRVIE3) Situation obtenue : Nous constatons un écart de 15 809,38 € entre la bande de virement et ANAEL Bande de virement / Flux AXWAY : (voir Document 1)ANAEL : (voir Document 2)Côté ANAEL, l’écart concerne les lignes FADIGA – dossier 2025 038087. (voir Document 3)Il y a un souci dans les CRE relatifs au sinistre décès prévoyance 2025 00000038087.Il y a 2 bénéficiaires pour ce sinistre :FADIGA HAROUNACap. décès 15809,38INTERETS Post-mortem : 173,95TOTAL : 15983,33FADIGA THIABACap. décès 15809,38INTERETS Post-mortem : 173,95TOTAL : 15983,33</t>
  </si>
  <si>
    <t>I26_033619</t>
  </si>
  <si>
    <t xml:space="preserve">Sinistre 2025 - 00000036155//mauvaise date 
1) Référence(s) : Opération : Rachat Total
SC : G26941VContrat 115612Sinistre n° 2025 – 00000036155 déjà réglé
2) Situation attendue : Passer le rachat en bonne date et faire le règlement de l’écart dû.
3) Situation obtenue: La saisie du sinistre n° 2025 36155 (déjà réglé) a été traité en date de 04/02/2025 au lieu de 04/02/2026. Cela généré 12 instances en désaffectations. J’ai annulé le sinistre 2025 36155
 </t>
  </si>
  <si>
    <t>I26_033652</t>
  </si>
  <si>
    <t>JEAN GILLES, Sabrina</t>
  </si>
  <si>
    <t>I26_033653</t>
  </si>
  <si>
    <t>CIRVIE - Frais gestion et taux comm gestion 190601100001444
1) Référence(s) : OMV le 21/04/20262) Situation attendue : Comme il n'y a aucune quittance sur le contrat , pouvez-vous forcer sur tous les avenants le taux de frais de gestion à 0% et le taux de commission de gestion à 7%3) Situation obtenue : Sur le contrat 190601100001444, le taux de frais de gestion a été alimenté à 10% et le taux de commission de gestion à 0%</t>
  </si>
  <si>
    <t>I26_033656</t>
  </si>
  <si>
    <t xml:space="preserve">INCIDENT VALSIN SUR CONTRAT PREVOST MARIE PAULE 86564 500485D
1) Référence(s) :  86564 500485D
2) Situation attendue : Correction de l'incident valsin 
3) Situation obtenue: Mail reçu :Je dois réaliser un arbitrage sur le contrat ci-dessus, il existe un incident valsin.
 </t>
  </si>
  <si>
    <t>I26_033667</t>
  </si>
  <si>
    <t>CIRVIE - Contrats prévoyance courtage
1) Référence(s) : OMV le 21/04/20262) Situation attendue : Mettre le taux de frais de gestion à 0 sur le dernier avenant des contrats en cours sur toutes les garanties
Champ TXFRSGEST de POTB05 3) Situation obtenue : La gestion a saisi des taux de frais de gestion sur 211 contrats de prévoyance courtage à tort. Les taux enregistrés sont entre 1 et 6 %</t>
  </si>
  <si>
    <t>I26_033703</t>
  </si>
  <si>
    <t xml:space="preserve"> Le Job A1P1CI8025 est en etat JOBFAILURE sur SMASPRO1 le 21/04/2026 a 23:53:14. RC=20 ANAEL : PB TRAITEMENT IMPORT EXCEL1) Référence(s) :Emetteur: MOACGravité : HauteAssigné à : DSI – ExpPérimètre : ANAEL – Traitement import ExcelSujet : Problème de transfert de fichier Windows  AS400Date de survenance : 20/04/2026 Date de déclaration: 20/04/20262) Situation attendue : 3) Situation obtenue : Mail reçu : Le processus d'import de fichiers Excel vers ANAEL repose sur le flux suivant :1. Dépôt du fichier .csv dans S:\DCG\E_EXPORT\ANAELImportExcel2. Un job tourne toutes les 5 min, déplace le fichier vers le répertoire de sauvegarde3. Le fichier est transféré dans l'IFS AS400 sous /home/ANAEL_IMPORT4. ANAEL déclenche le traitement et produit un compte-renduIncident depuis 16h33- Le fichier est bien capté côté Windows et déplacé dans le répertoire de sauvegarde - Le fichier n'est pas transféré dans l'IFS sous /home/ANAEL_IMPORT- Le compte-rendu de traitement généré par ANAEL est vide</t>
  </si>
  <si>
    <t>I26_033705</t>
  </si>
  <si>
    <t>Le Job A1P1CV1451 est en etat JOBFAILURE sur SMASPRO1 le 22/04/2026 a 00:13:56. RC=20
Le Job A1P1CV2605 est en etat JOBFAILURE sur SMASPRO1 le 22/04/2026 a 00:13:50. RC=20
Le Job A1P1CV2406 est en etat JOBFAILURE sur SMASPRO1 le 22/04/2026 a 00:46:54. RC=20 
Le Job A1P1CV2411 est en etat JOBFAILURE sur SMASPRO1 le 22/04/2026 a 00:46:54. RC=20 ANAEL : PB TRAITEMENT IMPORT EXCEL1) Référence(s) :Emetteur: MOACGravité : HauteAssigné à : DSI – ExpPérimètre : ANAEL – Traitement import ExcelSujet : Problème de transfert de fichier Windows  AS400Date de survenance : 20/04/2026 Date de déclaration: 20/04/20262) Situation attendue : 3) Situation obtenue : Mail reçu : Le processus d'import de fichiers Excel vers ANAEL repose sur le flux suivant :1. Dépôt du fichier .csv dans S:\DCG\E_EXPORT\ANAELImportExcel2. Un job tourne toutes les 5 min, déplace le fichier vers le répertoire de sauvegarde3. Le fichier est transféré dans l'IFS AS400 sous /home/ANAEL_IMPORT4. ANAEL déclenche le traitement et produit un compte-renduIncident depuis 16h33- Le fichier est bien capté côté Windows et déplacé dans le répertoire de sauvegarde - Le fichier n'est pas transféré dans l'IFS sous /home/ANAEL_IMPORT- Le compte-rendu de traitement généré par ANAEL est vide</t>
  </si>
  <si>
    <t>I26_033849</t>
  </si>
  <si>
    <t>CIRVIE - REjet bande de prélèvement
1) Référence(s) : V. AUDREN le 22/04/20262) Situation attendue : Merci de mettre à disposition de la comptabilité la bande corrigée et d'ajouter la RUM VIE124011-20260418 au paiement de la quittance 000000007178889. Numéro de paiement 0000000068131013) Situation obtenue : La bande de prélèvement PRELEVEMENTS_AUTO_CIRVIE_HP_20260421033644.XML a été rejetée par HSBC pour RUM non présent sur le contrat 000000000124011. LA RUM a été générée manuellement par la gestion et la bande corrigée manuellement par OMV. Elle est disponible dans le répertoire : S:\Transfert\S021\rejeu_CIRVIE\prl</t>
  </si>
  <si>
    <t>I26_033866</t>
  </si>
  <si>
    <t>I26_033883</t>
  </si>
  <si>
    <t>CIRVIE - RACHAT EN LIGNE A RECYCLER
1) Référence(s) : Voir documents
- Secteur : SER I- Outil : CIRVIE- Type du sinistre : Rachat partiel - N° SOCIETAIRE : 378461Y
- N° de contrat : 144208 BATI épargne- Montant du versement : 35 000 €
- Date d'effet du versement : 21/04/2026
2) Situation attendue : Pouvoir valider et clôturer la demande
3) Situation obtenue : Message d'incident sur ce contrat à recycler, (demande de justificatif ok)</t>
  </si>
  <si>
    <t>I26_033945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</si>
</sst>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22"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13" fillId="33" borderId="0" xfId="0" applyFont="1" applyFill="1"/>
    <xf numFmtId="9" fontId="0" fillId="0" borderId="0" xfId="42" applyFont="1"/>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Pourcentage" xfId="42" builtinId="5"/>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4">
    <dxf>
      <numFmt numFmtId="27" formatCode="m/d/yyyy\ h:mm"/>
    </dxf>
    <dxf>
      <alignment horizontal="general" vertical="bottom" textRotation="0" wrapText="1" indent="0" justifyLastLine="0" shrinkToFit="0" readingOrder="0"/>
    </dxf>
    <dxf>
      <numFmt numFmtId="27" formatCode="m/d/yyyy\ h:mm"/>
    </dxf>
    <dxf>
      <font>
        <b/>
        <i val="0"/>
        <strike val="0"/>
        <condense val="0"/>
        <extend val="0"/>
        <outline val="0"/>
        <shadow val="0"/>
        <u val="none"/>
        <vertAlign val="baseline"/>
        <sz val="11"/>
        <color theme="0"/>
        <name val="Calibri"/>
        <family val="2"/>
        <scheme val="none"/>
      </font>
      <fill>
        <patternFill patternType="solid">
          <fgColor indexed="64"/>
          <bgColor rgb="FF0000FF"/>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'GRAPHE ORIGINE'!$B$4</c:f>
              <c:strCache>
                <c:ptCount val="1"/>
                <c:pt idx="0">
                  <c:v>NB INCIDENTS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B5A-4E2B-B874-B9D84AEE1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72-4148-969D-5762321CB4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3B5A-4E2B-B874-B9D84AEE17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72-4148-969D-5762321CB4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72-4148-969D-5762321CB4E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3B5A-4E2B-B874-B9D84AEE17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3B5A-4E2B-B874-B9D84AEE17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3B5A-4E2B-B874-B9D84AEE17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3-3B5A-4E2B-B874-B9D84AEE17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2-3B5A-4E2B-B874-B9D84AEE177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3B5A-4E2B-B874-B9D84AEE177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3B5A-4E2B-B874-B9D84AEE177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972-4148-969D-5762321CB4E0}"/>
              </c:ext>
            </c:extLst>
          </c:dPt>
          <c:dLbls>
            <c:dLbl>
              <c:idx val="0"/>
              <c:layout>
                <c:manualLayout>
                  <c:x val="0.21031749317546156"/>
                  <c:y val="2.7378507871320982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9637704605315681"/>
                      <c:h val="6.9031781704904954E-2"/>
                    </c:manualLayout>
                  </c15:layout>
                </c:ext>
                <c:ext xmlns:c16="http://schemas.microsoft.com/office/drawing/2014/chart" uri="{C3380CC4-5D6E-409C-BE32-E72D297353CC}">
                  <c16:uniqueId val="{0000000A-3B5A-4E2B-B874-B9D84AEE1773}"/>
                </c:ext>
              </c:extLst>
            </c:dLbl>
            <c:dLbl>
              <c:idx val="2"/>
              <c:layout>
                <c:manualLayout>
                  <c:x val="0.13492065599935257"/>
                  <c:y val="-1.64271047227927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B5A-4E2B-B874-B9D84AEE1773}"/>
                </c:ext>
              </c:extLst>
            </c:dLbl>
            <c:dLbl>
              <c:idx val="5"/>
              <c:layout>
                <c:manualLayout>
                  <c:x val="-0.13868253773132219"/>
                  <c:y val="9.433964600100182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B5A-4E2B-B874-B9D84AEE1773}"/>
                </c:ext>
              </c:extLst>
            </c:dLbl>
            <c:dLbl>
              <c:idx val="6"/>
              <c:layout>
                <c:manualLayout>
                  <c:x val="5.9435373313423787E-2"/>
                  <c:y val="4.716982300050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B5A-4E2B-B874-B9D84AEE1773}"/>
                </c:ext>
              </c:extLst>
            </c:dLbl>
            <c:dLbl>
              <c:idx val="7"/>
              <c:layout>
                <c:manualLayout>
                  <c:x val="-0.12877664217908485"/>
                  <c:y val="-1.88679292002003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B5A-4E2B-B874-B9D84AEE1773}"/>
                </c:ext>
              </c:extLst>
            </c:dLbl>
            <c:dLbl>
              <c:idx val="8"/>
              <c:layout>
                <c:manualLayout>
                  <c:x val="-9.7077776411925512E-2"/>
                  <c:y val="-5.34591327339010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5A-4E2B-B874-B9D84AEE1773}"/>
                </c:ext>
              </c:extLst>
            </c:dLbl>
            <c:dLbl>
              <c:idx val="9"/>
              <c:layout>
                <c:manualLayout>
                  <c:x val="-7.5284806197003465E-2"/>
                  <c:y val="-0.103773610601102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B5A-4E2B-B874-B9D84AEE1773}"/>
                </c:ext>
              </c:extLst>
            </c:dLbl>
            <c:dLbl>
              <c:idx val="10"/>
              <c:layout>
                <c:manualLayout>
                  <c:x val="-6.1507946117351914E-2"/>
                  <c:y val="-3.55920602327173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B5A-4E2B-B874-B9D84AEE1773}"/>
                </c:ext>
              </c:extLst>
            </c:dLbl>
            <c:dLbl>
              <c:idx val="11"/>
              <c:layout>
                <c:manualLayout>
                  <c:x val="-0.10714287388183881"/>
                  <c:y val="-1.09514031485284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B5A-4E2B-B874-B9D84AEE17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'GRAPHE ORIGINE'!$A$5:$A$17</c:f>
              <c:strCache>
                <c:ptCount val="12"/>
                <c:pt idx="0">
                  <c:v>ANOMALIE 990I</c:v>
                </c:pt>
                <c:pt idx="1">
                  <c:v>ASSISTANCE UTILISATEURS</c:v>
                </c:pt>
                <c:pt idx="2">
                  <c:v>BASE DE DONNEES</c:v>
                </c:pt>
                <c:pt idx="3">
                  <c:v>BRIQUE FISCALE</c:v>
                </c:pt>
                <c:pt idx="4">
                  <c:v>ERREUR SAISIE</c:v>
                </c:pt>
                <c:pt idx="5">
                  <c:v>ETONNEMENTS METIER</c:v>
                </c:pt>
                <c:pt idx="6">
                  <c:v>FICOVIE</c:v>
                </c:pt>
                <c:pt idx="7">
                  <c:v>OST CPR</c:v>
                </c:pt>
                <c:pt idx="8">
                  <c:v>PARAMETRAGE</c:v>
                </c:pt>
                <c:pt idx="9">
                  <c:v>PROGRAMME</c:v>
                </c:pt>
                <c:pt idx="10">
                  <c:v>RCAN</c:v>
                </c:pt>
                <c:pt idx="11">
                  <c:v>VALSIN</c:v>
                </c:pt>
              </c:strCache>
            </c:strRef>
          </c:cat>
          <c:val>
            <c:numRef>
              <c:f>'GRAPHE ORIGINE'!$B$5:$B$17</c:f>
              <c:numCache>
                <c:formatCode>General</c:formatCode>
                <c:ptCount val="13"/>
                <c:pt idx="0">
                  <c:v>20</c:v>
                </c:pt>
                <c:pt idx="1">
                  <c:v>127</c:v>
                </c:pt>
                <c:pt idx="2">
                  <c:v>16</c:v>
                </c:pt>
                <c:pt idx="3">
                  <c:v>4</c:v>
                </c:pt>
                <c:pt idx="4">
                  <c:v>47</c:v>
                </c:pt>
                <c:pt idx="5">
                  <c:v>12</c:v>
                </c:pt>
                <c:pt idx="6">
                  <c:v>2</c:v>
                </c:pt>
                <c:pt idx="7">
                  <c:v>30</c:v>
                </c:pt>
                <c:pt idx="8">
                  <c:v>8</c:v>
                </c:pt>
                <c:pt idx="9">
                  <c:v>65</c:v>
                </c:pt>
                <c:pt idx="10">
                  <c:v>10</c:v>
                </c:pt>
                <c:pt idx="11">
                  <c:v>51</c:v>
                </c:pt>
              </c:numCache>
            </c:numRef>
          </c:val>
          <c:extLst>
            <c:ext xmlns:c16="http://schemas.microsoft.com/office/drawing/2014/chart" uri="{C3380CC4-5D6E-409C-BE32-E72D297353CC}">
              <c16:uniqueId val="{00000000-3B5A-4E2B-B874-B9D84AEE1773}"/>
            </c:ext>
          </c:extLst>
        </c:ser>
        <c:ser>
          <c:idx val="1"/>
          <c:order val="1"/>
          <c:tx>
            <c:strRef>
              <c:f>'GRAPHE ORIGINE'!$C$4</c:f>
              <c:strCache>
                <c:ptCount val="1"/>
                <c:pt idx="0">
                  <c:v>POURCENTAGE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8972-4148-969D-5762321CB4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8972-4148-969D-5762321CB4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8972-4148-969D-5762321CB4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8972-4148-969D-5762321CB4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8972-4148-969D-5762321CB4E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8972-4148-969D-5762321CB4E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8972-4148-969D-5762321CB4E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8972-4148-969D-5762321CB4E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B-8972-4148-969D-5762321CB4E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8972-4148-969D-5762321CB4E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8972-4148-969D-5762321CB4E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8972-4148-969D-5762321CB4E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3-8972-4148-969D-5762321CB4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'GRAPHE ORIGINE'!$A$5:$A$17</c:f>
              <c:strCache>
                <c:ptCount val="12"/>
                <c:pt idx="0">
                  <c:v>ANOMALIE 990I</c:v>
                </c:pt>
                <c:pt idx="1">
                  <c:v>ASSISTANCE UTILISATEURS</c:v>
                </c:pt>
                <c:pt idx="2">
                  <c:v>BASE DE DONNEES</c:v>
                </c:pt>
                <c:pt idx="3">
                  <c:v>BRIQUE FISCALE</c:v>
                </c:pt>
                <c:pt idx="4">
                  <c:v>ERREUR SAISIE</c:v>
                </c:pt>
                <c:pt idx="5">
                  <c:v>ETONNEMENTS METIER</c:v>
                </c:pt>
                <c:pt idx="6">
                  <c:v>FICOVIE</c:v>
                </c:pt>
                <c:pt idx="7">
                  <c:v>OST CPR</c:v>
                </c:pt>
                <c:pt idx="8">
                  <c:v>PARAMETRAGE</c:v>
                </c:pt>
                <c:pt idx="9">
                  <c:v>PROGRAMME</c:v>
                </c:pt>
                <c:pt idx="10">
                  <c:v>RCAN</c:v>
                </c:pt>
                <c:pt idx="11">
                  <c:v>VALSIN</c:v>
                </c:pt>
              </c:strCache>
            </c:strRef>
          </c:cat>
          <c:val>
            <c:numRef>
              <c:f>'GRAPHE ORIGINE'!$C$5:$C$17</c:f>
              <c:numCache>
                <c:formatCode>0%</c:formatCode>
                <c:ptCount val="13"/>
                <c:pt idx="0">
                  <c:v>5.1020408163265307E-2</c:v>
                </c:pt>
                <c:pt idx="1">
                  <c:v>0.32397959183673469</c:v>
                </c:pt>
                <c:pt idx="2">
                  <c:v>4.0816326530612242E-2</c:v>
                </c:pt>
                <c:pt idx="3">
                  <c:v>1.020408163265306E-2</c:v>
                </c:pt>
                <c:pt idx="4">
                  <c:v>0.11989795918367346</c:v>
                </c:pt>
                <c:pt idx="5">
                  <c:v>3.0612244897959183E-2</c:v>
                </c:pt>
                <c:pt idx="6">
                  <c:v>5.1020408163265302E-3</c:v>
                </c:pt>
                <c:pt idx="7">
                  <c:v>7.6530612244897961E-2</c:v>
                </c:pt>
                <c:pt idx="8">
                  <c:v>2.0408163265306121E-2</c:v>
                </c:pt>
                <c:pt idx="9">
                  <c:v>0.16581632653061223</c:v>
                </c:pt>
                <c:pt idx="10">
                  <c:v>2.5510204081632654E-2</c:v>
                </c:pt>
                <c:pt idx="11">
                  <c:v>0.13010204081632654</c:v>
                </c:pt>
              </c:numCache>
            </c:numRef>
          </c:val>
          <c:extLst>
            <c:ext xmlns:c16="http://schemas.microsoft.com/office/drawing/2014/chart" uri="{C3380CC4-5D6E-409C-BE32-E72D297353CC}">
              <c16:uniqueId val="{00000001-3B5A-4E2B-B874-B9D84AEE177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457201</xdr:colOff>
      <xdr:row>1</xdr:row>
      <xdr:rowOff>161925</xdr:rowOff>
    </xdr:from>
    <xdr:to>
      <xdr:col>16</xdr:col>
      <xdr:colOff>0</xdr:colOff>
      <xdr:row>26</xdr:row>
      <xdr:rowOff>38100</xdr:rowOff>
    </xdr:to>
    <xdr:graphicFrame macro="">
      <xdr:nvGraphicFramePr>
        <xdr:cNvPr id="2" name="Graphique 1">
          <a:extLst>
            <a:ext uri="{FF2B5EF4-FFF2-40B4-BE49-F238E27FC236}">
              <a16:creationId xmlns:a16="http://schemas.microsoft.com/office/drawing/2014/main" id="{FC27B67A-7F62-68A2-61AC-336DA87C2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line PIVOT" refreshedDate="46108.615097337963" createdVersion="8" refreshedVersion="8" minRefreshableVersion="3" recordCount="630" xr:uid="{B6E18E6E-FA36-4E43-AED8-96165228CBF8}">
  <cacheSource type="worksheet">
    <worksheetSource ref="A1:G1048576" sheet="TOUS LES INCIDENTS"/>
  </cacheSource>
  <cacheFields count="9">
    <cacheField name="N° d'Incident" numFmtId="0">
      <sharedItems containsBlank="1"/>
    </cacheField>
    <cacheField name="Date d'émission" numFmtId="0">
      <sharedItems containsNonDate="0" containsDate="1" containsString="0" containsBlank="1" minDate="2026-01-02T07:01:23" maxDate="2026-03-27T13:55:59" count="630">
        <d v="2026-01-02T07:01:23"/>
        <d v="2026-01-02T07:06:24"/>
        <d v="2026-01-02T10:07:40"/>
        <d v="2026-01-02T16:18:25"/>
        <d v="2026-01-05T08:45:14"/>
        <d v="2026-01-05T09:31:23"/>
        <d v="2026-01-05T10:18:00"/>
        <d v="2026-01-05T10:39:54"/>
        <d v="2026-01-05T10:50:58"/>
        <d v="2026-01-05T11:13:18"/>
        <d v="2026-01-05T11:25:52"/>
        <d v="2026-01-05T11:52:50"/>
        <d v="2026-01-05T12:32:00"/>
        <d v="2026-01-05T13:26:18"/>
        <d v="2026-01-05T13:39:51"/>
        <d v="2026-01-05T15:13:57"/>
        <d v="2026-01-05T16:18:05"/>
        <d v="2026-01-05T16:29:17"/>
        <d v="2026-01-06T07:56:03"/>
        <d v="2026-01-06T10:38:26"/>
        <d v="2026-01-06T11:02:56"/>
        <d v="2026-01-06T15:31:11"/>
        <d v="2026-01-07T08:45:56"/>
        <d v="2026-01-07T09:30:00"/>
        <d v="2026-01-07T10:13:09"/>
        <d v="2026-01-07T11:35:30"/>
        <d v="2026-01-07T13:58:47"/>
        <d v="2026-01-07T14:20:32"/>
        <d v="2026-01-07T14:41:18"/>
        <d v="2026-01-07T14:47:29"/>
        <d v="2026-01-07T16:54:39"/>
        <d v="2026-01-07T16:56:39"/>
        <d v="2026-01-08T09:04:23"/>
        <d v="2026-01-08T09:17:21"/>
        <d v="2026-01-08T11:27:57"/>
        <d v="2026-01-08T15:23:43"/>
        <d v="2026-01-08T15:27:06"/>
        <d v="2026-01-08T16:31:53"/>
        <d v="2026-01-08T17:58:32"/>
        <d v="2026-01-08T18:21:35"/>
        <d v="2026-01-08T19:15:51"/>
        <d v="2026-01-09T10:07:25"/>
        <d v="2026-01-09T11:34:22"/>
        <d v="2026-01-09T15:08:03"/>
        <d v="2026-01-09T17:15:07"/>
        <d v="2026-01-12T09:52:54"/>
        <d v="2026-01-12T10:03:14"/>
        <d v="2026-01-12T10:54:27"/>
        <d v="2026-01-12T11:06:49"/>
        <d v="2026-01-12T15:46:11"/>
        <d v="2026-01-12T16:12:32"/>
        <d v="2026-01-12T17:06:10"/>
        <d v="2026-01-12T17:17:57"/>
        <d v="2026-01-13T08:05:47"/>
        <d v="2026-01-13T08:13:23"/>
        <d v="2026-01-13T08:18:00"/>
        <d v="2026-01-13T08:21:30"/>
        <d v="2026-01-13T08:24:02"/>
        <d v="2026-01-13T08:34:01"/>
        <d v="2026-01-13T08:40:03"/>
        <d v="2026-01-13T09:46:48"/>
        <d v="2026-01-13T10:05:18"/>
        <d v="2026-01-13T11:33:28"/>
        <d v="2026-01-13T12:36:44"/>
        <d v="2026-01-13T13:08:01"/>
        <d v="2026-01-13T15:36:38"/>
        <d v="2026-01-14T10:01:02"/>
        <d v="2026-01-14T10:52:31"/>
        <d v="2026-01-14T11:27:04"/>
        <d v="2026-01-14T12:47:53"/>
        <d v="2026-01-14T14:28:39"/>
        <d v="2026-01-14T14:54:37"/>
        <d v="2026-01-14T15:00:09"/>
        <d v="2026-01-14T15:11:32"/>
        <d v="2026-01-14T15:59:49"/>
        <d v="2026-01-14T16:56:41"/>
        <d v="2026-01-14T17:20:52"/>
        <d v="2026-01-14T17:52:20"/>
        <d v="2026-01-14T18:02:39"/>
        <d v="2026-01-15T09:15:44"/>
        <d v="2026-01-15T09:22:11"/>
        <d v="2026-01-15T09:35:50"/>
        <d v="2026-01-15T11:16:11"/>
        <d v="2026-01-15T13:40:16"/>
        <d v="2026-01-15T14:36:54"/>
        <d v="2026-01-15T14:58:27"/>
        <d v="2026-01-15T15:26:06"/>
        <d v="2026-01-15T15:28:14"/>
        <d v="2026-01-15T15:32:45"/>
        <d v="2026-01-15T15:33:28"/>
        <d v="2026-01-15T17:40:00"/>
        <d v="2026-01-16T09:21:03"/>
        <d v="2026-01-16T10:23:05"/>
        <d v="2026-01-16T10:29:40"/>
        <d v="2026-01-16T11:16:44"/>
        <d v="2026-01-16T11:53:40"/>
        <d v="2026-01-16T12:50:18"/>
        <d v="2026-01-16T12:52:01"/>
        <d v="2026-01-16T13:36:35"/>
        <d v="2026-01-16T13:37:03"/>
        <d v="2026-01-16T15:26:14"/>
        <d v="2026-01-16T16:23:54"/>
        <d v="2026-01-16T16:26:29"/>
        <d v="2026-01-16T18:03:51"/>
        <d v="2026-01-19T08:15:56"/>
        <d v="2026-01-19T08:19:29"/>
        <d v="2026-01-19T10:03:33"/>
        <d v="2026-01-19T10:01:33"/>
        <d v="2026-01-19T10:42:13"/>
        <d v="2026-01-19T10:57:50"/>
        <d v="2026-01-19T11:24:16"/>
        <d v="2026-01-19T11:43:05"/>
        <d v="2026-01-19T11:44:18"/>
        <d v="2026-01-19T13:11:19"/>
        <d v="2026-01-19T14:53:25"/>
        <d v="2026-01-19T16:13:32"/>
        <d v="2026-01-19T16:40:07"/>
        <d v="2026-01-19T16:42:06"/>
        <d v="2026-01-19T17:52:21"/>
        <d v="2026-01-20T11:19:10"/>
        <d v="2026-01-20T12:17:49"/>
        <d v="2026-01-20T12:19:39"/>
        <d v="2026-01-20T12:27:23"/>
        <d v="2026-01-20T13:28:04"/>
        <d v="2026-01-20T13:19:53"/>
        <d v="2026-01-20T13:44:21"/>
        <d v="2026-01-20T14:16:45"/>
        <d v="2026-01-20T14:27:32"/>
        <d v="2026-01-20T14:43:00"/>
        <d v="2026-01-20T14:47:25"/>
        <d v="2026-01-20T14:48:58"/>
        <d v="2026-01-20T15:03:38"/>
        <d v="2026-01-20T15:05:42"/>
        <d v="2026-01-20T15:51:08"/>
        <d v="2026-01-20T16:02:33"/>
        <d v="2026-01-20T15:37:43"/>
        <d v="2026-01-20T16:12:02"/>
        <d v="2026-01-20T17:31:35"/>
        <d v="2026-01-21T08:10:08"/>
        <d v="2026-01-21T09:17:13"/>
        <d v="2026-01-21T09:58:48"/>
        <d v="2026-01-21T10:16:39"/>
        <d v="2026-01-21T11:02:11"/>
        <d v="2026-01-21T12:00:45"/>
        <d v="2026-01-21T12:05:26"/>
        <d v="2026-01-21T14:06:36"/>
        <d v="2026-01-21T14:17:37"/>
        <d v="2026-01-21T15:01:13"/>
        <d v="2026-01-21T15:39:56"/>
        <d v="2026-01-21T15:58:19"/>
        <d v="2026-01-21T16:32:51"/>
        <d v="2026-01-21T16:41:08"/>
        <d v="2026-01-21T16:57:54"/>
        <d v="2026-01-22T06:46:31"/>
        <d v="2026-01-22T08:05:51"/>
        <d v="2026-01-22T09:50:29"/>
        <d v="2026-01-22T10:00:53"/>
        <d v="2026-01-22T10:45:47"/>
        <d v="2026-01-22T12:30:16"/>
        <d v="2026-01-22T14:01:19"/>
        <d v="2026-01-22T14:36:09"/>
        <d v="2026-01-22T16:04:42"/>
        <d v="2026-01-22T18:37:13"/>
        <d v="2026-01-23T06:32:49"/>
        <d v="2026-01-23T09:03:16"/>
        <d v="2026-01-23T09:55:18"/>
        <d v="2026-01-23T10:13:42"/>
        <d v="2026-01-23T10:37:44"/>
        <d v="2026-01-23T11:53:24"/>
        <d v="2026-01-23T13:10:51"/>
        <d v="2026-01-23T13:32:22"/>
        <d v="2026-01-23T14:02:15"/>
        <d v="2026-01-23T14:28:59"/>
        <d v="2026-01-23T14:50:19"/>
        <d v="2026-01-23T14:52:22"/>
        <d v="2026-01-23T15:27:48"/>
        <d v="2026-01-23T16:18:10"/>
        <d v="2026-01-23T16:22:16"/>
        <d v="2026-01-23T17:00:52"/>
        <d v="2026-01-23T17:39:41"/>
        <d v="2026-01-23T18:14:04"/>
        <d v="2026-01-26T08:32:37"/>
        <d v="2026-01-26T08:54:38"/>
        <d v="2026-01-26T08:59:19"/>
        <d v="2026-01-26T09:20:06"/>
        <d v="2026-01-26T09:45:57"/>
        <d v="2026-01-26T10:50:46"/>
        <d v="2026-01-26T11:05:42"/>
        <d v="2026-01-26T11:11:01"/>
        <d v="2026-01-26T11:37:47"/>
        <d v="2026-01-26T12:07:47"/>
        <d v="2026-01-26T14:11:17"/>
        <d v="2026-01-26T15:17:49"/>
        <d v="2026-01-26T15:18:25"/>
        <d v="2026-01-27T08:36:06"/>
        <d v="2026-01-27T10:30:19"/>
        <d v="2026-01-27T14:08:36"/>
        <d v="2026-01-27T14:23:14"/>
        <d v="2026-01-27T14:45:40"/>
        <d v="2026-01-27T14:59:18"/>
        <d v="2026-01-27T15:13:34"/>
        <d v="2026-01-27T15:17:04"/>
        <d v="2026-01-27T15:29:16"/>
        <d v="2026-01-27T16:54:46"/>
        <d v="2026-01-27T16:59:35"/>
        <d v="2026-01-27T19:01:45"/>
        <d v="2026-01-27T19:08:06"/>
        <d v="2026-01-27T19:22:50"/>
        <d v="2026-01-27T19:41:40"/>
        <d v="2026-01-28T09:16:59"/>
        <d v="2026-01-28T09:20:18"/>
        <d v="2026-01-28T10:18:04"/>
        <d v="2026-01-28T11:12:20"/>
        <d v="2026-01-28T12:13:23"/>
        <d v="2026-01-28T12:17:46"/>
        <d v="2026-01-28T12:18:56"/>
        <d v="2026-01-28T12:24:50"/>
        <d v="2026-01-28T12:26:53"/>
        <d v="2026-01-28T14:07:03"/>
        <d v="2026-01-28T14:59:45"/>
        <d v="2026-01-28T15:10:04"/>
        <d v="2026-01-28T15:26:18"/>
        <d v="2026-01-28T16:01:35"/>
        <d v="2026-01-29T09:49:54"/>
        <d v="2026-01-29T10:32:00"/>
        <d v="2026-01-29T11:40:47"/>
        <d v="2026-01-29T11:48:21"/>
        <d v="2026-01-29T12:49:36"/>
        <d v="2026-01-29T12:56:12"/>
        <d v="2026-01-29T14:53:49"/>
        <d v="2026-01-29T14:47:38"/>
        <d v="2026-01-29T15:10:40"/>
        <d v="2026-01-29T15:14:33"/>
        <d v="2026-01-29T16:05:35"/>
        <d v="2026-01-29T18:37:47"/>
        <d v="2026-01-30T07:18:59"/>
        <d v="2026-01-30T08:15:50"/>
        <d v="2026-01-30T09:38:45"/>
        <d v="2026-01-30T10:19:17"/>
        <d v="2026-01-30T15:11:29"/>
        <d v="2026-01-30T15:15:47"/>
        <d v="2026-01-30T15:17:52"/>
        <d v="2026-01-30T15:53:29"/>
        <d v="2026-01-30T16:48:25"/>
        <d v="2026-02-02T10:31:35"/>
        <d v="2026-02-02T10:34:01"/>
        <d v="2026-02-02T10:44:06"/>
        <d v="2026-02-02T12:53:47"/>
        <d v="2026-02-02T14:42:48"/>
        <d v="2026-02-02T15:38:53"/>
        <d v="2026-02-02T15:50:48"/>
        <d v="2026-02-02T16:24:12"/>
        <d v="2026-02-02T17:08:47"/>
        <d v="2026-02-03T06:37:15"/>
        <d v="2026-02-03T10:06:32"/>
        <d v="2026-02-03T10:17:40"/>
        <d v="2026-02-03T12:21:14"/>
        <d v="2026-02-03T16:07:58"/>
        <d v="2026-02-03T17:42:07"/>
        <d v="2026-02-03T19:16:00"/>
        <d v="2026-02-04T06:25:10"/>
        <d v="2026-02-04T08:42:32"/>
        <d v="2026-02-04T09:34:13"/>
        <d v="2026-02-04T10:35:01"/>
        <d v="2026-02-04T10:38:06"/>
        <d v="2026-02-04T12:43:51"/>
        <d v="2026-02-04T14:00:25"/>
        <d v="2026-02-04T14:13:27"/>
        <d v="2026-02-04T14:26:32"/>
        <d v="2026-02-04T14:28:59"/>
        <d v="2026-02-04T14:30:34"/>
        <d v="2026-02-04T15:04:06"/>
        <d v="2026-02-04T15:11:17"/>
        <d v="2026-02-04T18:15:03"/>
        <d v="2026-02-04T18:17:02"/>
        <d v="2026-02-04T18:38:44"/>
        <d v="2026-02-04T19:23:15"/>
        <d v="2026-02-05T06:33:59"/>
        <d v="2026-02-05T08:57:09"/>
        <d v="2026-02-05T09:50:28"/>
        <d v="2026-02-05T11:02:56"/>
        <d v="2026-02-05T11:08:26"/>
        <d v="2026-02-05T11:08:07"/>
        <d v="2026-02-05T12:27:13"/>
        <d v="2026-02-05T12:37:23"/>
        <d v="2026-02-05T14:05:32"/>
        <d v="2026-02-05T14:21:07"/>
        <d v="2026-02-05T15:15:14"/>
        <d v="2026-02-05T15:18:48"/>
        <d v="2026-02-05T15:42:04"/>
        <d v="2026-02-05T19:00:08"/>
        <d v="2026-02-05T19:17:42"/>
        <d v="2026-02-05T19:27:12"/>
        <d v="2026-02-06T09:44:12"/>
        <d v="2026-02-06T09:52:34"/>
        <d v="2026-02-06T12:00:43"/>
        <d v="2026-02-06T12:32:02"/>
        <d v="2026-02-06T12:42:17"/>
        <d v="2026-02-06T13:28:30"/>
        <d v="2026-02-06T14:54:41"/>
        <d v="2026-02-06T15:25:31"/>
        <d v="2026-02-06T16:00:08"/>
        <d v="2026-02-06T18:41:45"/>
        <d v="2026-02-06T19:10:18"/>
        <d v="2026-02-06T19:16:24"/>
        <d v="2026-02-06T19:18:09"/>
        <d v="2026-02-06T22:40:15"/>
        <d v="2026-02-09T09:24:51"/>
        <d v="2026-02-09T10:22:30"/>
        <d v="2026-02-09T10:58:08"/>
        <d v="2026-02-09T12:13:05"/>
        <d v="2026-02-09T13:45:24"/>
        <d v="2026-02-09T14:23:16"/>
        <d v="2026-02-09T14:42:47"/>
        <d v="2026-02-09T16:28:34"/>
        <d v="2026-02-09T17:24:25"/>
        <d v="2026-02-09T19:08:07"/>
        <d v="2026-02-09T19:43:02"/>
        <d v="2026-02-09T19:54:45"/>
        <d v="2026-02-10T06:29:44"/>
        <d v="2026-02-10T09:22:52"/>
        <d v="2026-02-10T10:28:44"/>
        <d v="2026-02-10T11:08:20"/>
        <d v="2026-02-10T10:55:43"/>
        <d v="2026-02-10T14:21:31"/>
        <d v="2026-02-10T15:27:20"/>
        <d v="2026-02-10T16:07:44"/>
        <d v="2026-02-10T17:19:06"/>
        <d v="2026-02-10T17:33:14"/>
        <d v="2026-02-11T08:19:11"/>
        <d v="2026-02-11T10:22:06"/>
        <d v="2026-02-11T10:43:13"/>
        <d v="2026-02-11T10:40:23"/>
        <d v="2026-02-11T11:32:43"/>
        <d v="2026-02-11T12:39:25"/>
        <d v="2026-02-11T13:05:51"/>
        <d v="2026-02-11T14:39:48"/>
        <d v="2026-02-11T14:56:57"/>
        <d v="2026-02-11T16:11:15"/>
        <d v="2026-02-11T18:31:52"/>
        <d v="2026-02-12T06:27:00"/>
        <d v="2026-02-12T08:50:08"/>
        <d v="2026-02-12T09:55:07"/>
        <d v="2026-02-12T10:05:53"/>
        <d v="2026-02-12T10:37:16"/>
        <d v="2026-02-12T10:41:03"/>
        <d v="2026-02-12T10:58:23"/>
        <d v="2026-02-12T11:03:30"/>
        <d v="2026-02-12T14:50:05"/>
        <d v="2026-02-12T15:07:40"/>
        <d v="2026-02-12T15:18:45"/>
        <d v="2026-02-12T15:27:32"/>
        <d v="2026-02-12T15:47:40"/>
        <d v="2026-02-12T17:06:33"/>
        <d v="2026-02-12T17:20:09"/>
        <d v="2026-02-12T17:39:27"/>
        <d v="2026-02-12T18:00:15"/>
        <d v="2026-02-12T18:30:48"/>
        <d v="2026-02-12T18:48:34"/>
        <d v="2026-02-13T06:36:58"/>
        <d v="2026-02-13T09:31:34"/>
        <d v="2026-02-13T11:06:04"/>
        <d v="2026-02-13T12:41:45"/>
        <d v="2026-02-13T15:41:09"/>
        <d v="2026-02-13T16:02:58"/>
        <d v="2026-02-16T07:59:51"/>
        <d v="2026-02-16T09:04:22"/>
        <d v="2026-02-16T10:49:14"/>
        <d v="2026-02-16T11:01:09"/>
        <d v="2026-02-16T11:33:42"/>
        <d v="2026-02-16T13:14:18"/>
        <d v="2026-02-16T15:16:05"/>
        <d v="2026-02-16T16:01:06"/>
        <d v="2026-02-16T17:20:18"/>
        <d v="2026-02-17T09:11:44"/>
        <d v="2026-02-17T09:15:18"/>
        <d v="2026-02-17T09:49:33"/>
        <d v="2026-02-18T03:03:58"/>
        <d v="2026-02-18T06:31:24"/>
        <d v="2026-02-18T09:25:34"/>
        <d v="2026-02-18T11:46:55"/>
        <d v="2026-02-18T12:18:56"/>
        <d v="2026-02-18T13:45:02"/>
        <d v="2026-02-18T14:27:29"/>
        <d v="2026-02-18T15:23:16"/>
        <d v="2026-02-18T16:36:12"/>
        <d v="2026-02-18T17:22:29"/>
        <d v="2026-02-18T17:24:18"/>
        <d v="2026-02-19T12:10:15"/>
        <d v="2026-02-19T12:25:10"/>
        <d v="2026-02-19T15:11:07"/>
        <d v="2026-02-19T15:25:16"/>
        <d v="2026-02-19T15:50:42"/>
        <d v="2026-02-19T16:30:45"/>
        <d v="2026-02-19T18:33:21"/>
        <d v="2026-02-20T08:03:01"/>
        <d v="2026-02-20T09:53:45"/>
        <d v="2026-02-20T11:51:41"/>
        <d v="2026-02-20T12:00:25"/>
        <d v="2026-02-20T12:00:34"/>
        <d v="2026-02-20T12:59:19"/>
        <d v="2026-02-20T15:09:40"/>
        <d v="2026-02-20T16:13:57"/>
        <d v="2026-02-20T16:26:11"/>
        <d v="2026-02-20T18:41:54"/>
        <d v="2026-02-21T06:30:37"/>
        <d v="2026-02-23T08:28:54"/>
        <d v="2026-02-23T09:40:00"/>
        <d v="2026-02-23T10:13:12"/>
        <d v="2026-02-23T10:24:47"/>
        <d v="2026-02-23T10:26:52"/>
        <d v="2026-02-23T10:37:52"/>
        <d v="2026-02-23T14:11:23"/>
        <d v="2026-02-23T14:41:24"/>
        <d v="2026-02-23T16:23:56"/>
        <d v="2026-02-23T16:26:48"/>
        <d v="2026-02-23T16:42:31"/>
        <d v="2026-02-24T06:34:34"/>
        <d v="2026-02-24T11:28:30"/>
        <d v="2026-02-24T11:42:47"/>
        <d v="2026-02-24T11:57:44"/>
        <d v="2026-02-24T15:18:30"/>
        <d v="2026-02-24T15:28:46"/>
        <d v="2026-02-24T15:38:21"/>
        <d v="2026-02-24T15:46:15"/>
        <d v="2026-02-25T06:40:36"/>
        <d v="2026-02-25T08:47:26"/>
        <d v="2026-02-25T11:44:08"/>
        <d v="2026-02-25T11:41:45"/>
        <d v="2026-02-25T15:28:14"/>
        <d v="2026-02-25T15:32:32"/>
        <d v="2026-02-25T15:57:50"/>
        <d v="2026-02-25T16:04:52"/>
        <d v="2026-02-25T16:29:28"/>
        <d v="2026-02-25T16:33:58"/>
        <d v="2026-02-26T06:28:30"/>
        <d v="2026-02-26T09:34:26"/>
        <d v="2026-02-26T10:37:32"/>
        <d v="2026-02-26T11:25:11"/>
        <d v="2026-02-26T14:22:45"/>
        <d v="2026-02-26T14:36:07"/>
        <d v="2026-02-26T15:50:45"/>
        <d v="2026-02-26T15:52:22"/>
        <d v="2026-02-27T06:37:09"/>
        <d v="2026-02-27T08:24:01"/>
        <d v="2026-02-27T08:40:27"/>
        <d v="2026-02-27T09:22:14"/>
        <d v="2026-02-27T09:17:13"/>
        <d v="2026-02-27T15:18:06"/>
        <d v="2026-02-27T17:55:08"/>
        <d v="2026-03-02T15:50:54"/>
        <d v="2026-03-02T17:34:35"/>
        <d v="2026-03-03T09:16:48"/>
        <d v="2026-03-03T10:24:50"/>
        <d v="2026-03-03T10:37:56"/>
        <d v="2026-03-03T10:49:13"/>
        <d v="2026-03-03T12:30:23"/>
        <d v="2026-03-03T12:55:45"/>
        <d v="2026-03-03T13:01:05"/>
        <d v="2026-03-03T14:23:38"/>
        <d v="2026-03-03T15:05:35"/>
        <d v="2026-03-03T15:16:14"/>
        <d v="2026-03-03T15:22:42"/>
        <d v="2026-03-03T15:52:43"/>
        <d v="2026-03-03T16:57:07"/>
        <d v="2026-03-03T17:43:11"/>
        <d v="2026-03-03T17:49:22"/>
        <d v="2026-03-03T18:02:45"/>
        <d v="2026-03-04T06:33:59"/>
        <d v="2026-03-04T09:29:46"/>
        <d v="2026-03-04T14:01:46"/>
        <d v="2026-03-04T14:05:41"/>
        <d v="2026-03-04T17:08:56"/>
        <d v="2026-03-05T08:32:03"/>
        <d v="2026-03-05T08:55:43"/>
        <d v="2026-03-05T09:03:42"/>
        <d v="2026-03-05T10:58:06"/>
        <d v="2026-03-05T12:06:26"/>
        <d v="2026-03-05T12:20:19"/>
        <d v="2026-03-05T13:01:26"/>
        <d v="2026-03-05T16:05:57"/>
        <d v="2026-03-05T16:21:55"/>
        <d v="2026-03-05T18:28:11"/>
        <d v="2026-03-05T18:39:22"/>
        <d v="2026-03-06T06:30:27"/>
        <d v="2026-03-06T11:08:12"/>
        <d v="2026-03-06T11:08:57"/>
        <d v="2026-03-06T14:34:00"/>
        <d v="2026-03-06T15:36:01"/>
        <d v="2026-03-06T15:44:03"/>
        <d v="2026-03-06T17:25:00"/>
        <d v="2026-03-06T18:45:34"/>
        <d v="2026-03-09T09:49:30"/>
        <d v="2026-03-09T10:06:53"/>
        <d v="2026-03-09T11:49:23"/>
        <d v="2026-03-09T11:59:50"/>
        <d v="2026-03-09T14:09:04"/>
        <d v="2026-03-09T15:59:35"/>
        <d v="2026-03-09T16:36:55"/>
        <d v="2026-03-09T17:29:20"/>
        <d v="2026-03-10T06:33:16"/>
        <d v="2026-03-10T09:45:36"/>
        <d v="2026-03-10T09:46:08"/>
        <d v="2026-03-10T09:47:11"/>
        <d v="2026-03-10T10:06:12"/>
        <d v="2026-03-10T10:40:59"/>
        <d v="2026-03-10T11:02:22"/>
        <d v="2026-03-10T14:53:21"/>
        <d v="2026-03-10T15:30:41"/>
        <d v="2026-03-10T16:55:22"/>
        <d v="2026-03-10T17:06:54"/>
        <d v="2026-03-10T17:18:55"/>
        <d v="2026-03-11T06:36:26"/>
        <d v="2026-03-11T10:11:57"/>
        <d v="2026-03-11T13:30:07"/>
        <d v="2026-03-11T14:22:46"/>
        <d v="2026-03-11T14:57:56"/>
        <d v="2026-03-11T15:00:26"/>
        <d v="2026-03-11T15:00:15"/>
        <d v="2026-03-11T16:54:01"/>
        <d v="2026-03-11T19:11:42"/>
        <d v="2026-03-12T09:19:28"/>
        <d v="2026-03-12T09:41:46"/>
        <d v="2026-03-12T10:30:24"/>
        <d v="2026-03-12T12:53:08"/>
        <d v="2026-03-12T13:43:01"/>
        <d v="2026-03-12T13:42:14"/>
        <d v="2026-03-12T15:20:59"/>
        <d v="2026-03-12T15:29:12"/>
        <d v="2026-03-12T16:02:09"/>
        <d v="2026-03-13T09:41:56"/>
        <d v="2026-03-13T11:53:10"/>
        <d v="2026-03-13T13:04:32"/>
        <d v="2026-03-13T14:01:26"/>
        <d v="2026-03-13T15:28:20"/>
        <d v="2026-03-13T16:39:14"/>
        <d v="2026-03-16T09:58:49"/>
        <d v="2026-03-16T11:57:10"/>
        <d v="2026-03-16T14:51:29"/>
        <d v="2026-03-16T15:32:35"/>
        <d v="2026-03-16T15:46:35"/>
        <d v="2026-03-17T06:33:18"/>
        <d v="2026-03-17T10:19:23"/>
        <d v="2026-03-17T11:09:08"/>
        <d v="2026-03-17T12:20:36"/>
        <d v="2026-03-17T14:32:16"/>
        <d v="2026-03-17T17:05:41"/>
        <d v="2026-03-17T19:54:54"/>
        <d v="2026-03-18T06:31:30"/>
        <d v="2026-03-18T07:03:29"/>
        <d v="2026-03-18T08:42:49"/>
        <d v="2026-03-18T11:24:04"/>
        <d v="2026-03-18T12:17:52"/>
        <d v="2026-03-18T12:21:30"/>
        <d v="2026-03-18T12:25:03"/>
        <d v="2026-03-18T12:29:11"/>
        <d v="2026-03-18T12:57:01"/>
        <d v="2026-03-18T15:44:43"/>
        <d v="2026-03-18T15:59:06"/>
        <d v="2026-03-18T16:24:39"/>
        <d v="2026-03-18T17:20:36"/>
        <d v="2026-03-18T19:29:07"/>
        <d v="2026-03-19T06:37:17"/>
        <d v="2026-03-19T06:37:26"/>
        <d v="2026-03-19T08:34:41"/>
        <d v="2026-03-19T10:59:57"/>
        <d v="2026-03-19T11:26:27"/>
        <d v="2026-03-19T13:29:14"/>
        <d v="2026-03-19T15:52:15"/>
        <d v="2026-03-19T16:23:34"/>
        <d v="2026-03-20T09:32:16"/>
        <d v="2026-03-20T09:40:53"/>
        <d v="2026-03-20T15:12:27"/>
        <d v="2026-03-20T15:54:50"/>
        <d v="2026-03-20T16:12:19"/>
        <d v="2026-03-20T16:13:15"/>
        <d v="2026-03-20T16:28:17"/>
        <d v="2026-03-20T16:31:33"/>
        <d v="2026-03-23T10:12:33"/>
        <d v="2026-03-23T13:17:57"/>
        <d v="2026-03-23T14:00:37"/>
        <d v="2026-03-23T14:00:46"/>
        <d v="2026-03-23T14:06:01"/>
        <d v="2026-03-23T16:35:08"/>
        <d v="2026-03-23T16:52:54"/>
        <d v="2026-03-23T18:10:51"/>
        <d v="2026-03-23T18:14:31"/>
        <d v="2026-03-24T10:05:59"/>
        <d v="2026-03-24T10:56:30"/>
        <d v="2026-03-24T12:25:58"/>
        <d v="2026-03-24T17:33:10"/>
        <d v="2026-03-25T11:27:05"/>
        <d v="2026-03-25T11:33:07"/>
        <d v="2026-03-25T11:48:31"/>
        <d v="2026-03-25T11:53:24"/>
        <d v="2026-03-25T11:56:04"/>
        <d v="2026-03-25T11:58:32"/>
        <d v="2026-03-25T15:32:10"/>
        <d v="2026-03-25T17:03:53"/>
        <d v="2026-03-25T19:39:56"/>
        <d v="2026-03-26T06:28:54"/>
        <d v="2026-03-26T06:31:43"/>
        <d v="2026-03-26T08:41:15"/>
        <d v="2026-03-26T08:43:45"/>
        <d v="2026-03-26T09:31:16"/>
        <d v="2026-03-26T10:47:01"/>
        <d v="2026-03-26T10:50:13"/>
        <d v="2026-03-26T10:52:02"/>
        <d v="2026-03-26T11:01:14"/>
        <d v="2026-03-26T11:03:24"/>
        <d v="2026-03-26T11:14:18"/>
        <d v="2026-03-26T11:40:36"/>
        <d v="2026-03-26T12:14:36"/>
        <d v="2026-03-26T14:29:49"/>
        <d v="2026-03-26T15:25:12"/>
        <d v="2026-03-26T15:45:52"/>
        <d v="2026-03-26T16:08:08"/>
        <d v="2026-03-26T16:23:46"/>
        <d v="2026-03-26T17:05:08"/>
        <d v="2026-03-26T17:07:58"/>
        <d v="2026-03-26T18:35:41"/>
        <d v="2026-03-27T08:04:43"/>
        <d v="2026-03-27T08:16:05"/>
        <d v="2026-03-27T11:37:07"/>
        <d v="2026-02-19T16:44:19"/>
        <d v="2026-03-27T13:00:24"/>
        <d v="2026-03-27T13:22:38"/>
        <d v="2026-03-27T13:43:08"/>
        <d v="2026-03-27T13:55:59"/>
        <m/>
      </sharedItems>
      <fieldGroup par="8"/>
    </cacheField>
    <cacheField name="Statut" numFmtId="0">
      <sharedItems containsBlank="1"/>
    </cacheField>
    <cacheField name="Sujet" numFmtId="0">
      <sharedItems containsBlank="1" count="6">
        <s v="CV - CIRVIE"/>
        <s v="Cirvie"/>
        <s v="SC - Souscripteurs CIRVIE"/>
        <s v="CY - Cirvie batch"/>
        <s v="CI - VIE-CIRVIE VIE"/>
        <m/>
      </sharedItems>
    </cacheField>
    <cacheField name="INTERVENTION OMV" numFmtId="0">
      <sharedItems containsBlank="1" count="3">
        <s v="NON"/>
        <s v="OUI"/>
        <m/>
      </sharedItems>
    </cacheField>
    <cacheField name="SERVICE" numFmtId="0">
      <sharedItems containsBlank="1" count="21">
        <m/>
        <s v="DECES"/>
        <s v="SER IND PARIS"/>
        <s v="SER IND NANCY"/>
        <s v="TOUS"/>
        <s v="COURTAGE"/>
        <s v="SER COL PARIS"/>
        <s v="SAT"/>
        <s v="RENTES"/>
        <s v="COMPTABILITE"/>
        <s v="ETONNEMENTS METIER"/>
        <s v="SPI NANCY"/>
        <s v="SER COL NANCY"/>
        <s v="BRIQUE FISCALE"/>
        <s v="DIRECTION TECHNIQUE"/>
        <s v="SAR NANCY"/>
        <s v="SRPC"/>
        <s v="SPI PARIS"/>
        <s v="RESEAU COMMERCIAL"/>
        <s v="SAR PARIS"/>
        <s v="SRC"/>
      </sharedItems>
    </cacheField>
    <cacheField name="ORIGINE" numFmtId="0">
      <sharedItems containsBlank="1" count="15">
        <m/>
        <s v="ANOMALIE 990I"/>
        <s v="ASSISTANCE UTILISATEURS"/>
        <s v="PARAMETRAGE"/>
        <s v="ERREUR SAISIE"/>
        <s v="PROGRAMME"/>
        <s v="VALSIN"/>
        <s v="BASE DE DONNEES"/>
        <s v="ETONNEMENTS METIER"/>
        <s v="BRIQUE FISCALE"/>
        <s v="OST CPR"/>
        <s v="RCAN"/>
        <s v="FICOVIE"/>
        <s v="PACTE ADJOINT" u="1"/>
        <s v="HABILITATIONS" u="1"/>
      </sharedItems>
    </cacheField>
    <cacheField name="Jours (Date d'émission)" numFmtId="0" databaseField="0">
      <fieldGroup base="1">
        <rangePr groupBy="days" startDate="2026-01-02T07:01:23" endDate="2026-03-27T13:55:59"/>
        <groupItems count="368">
          <s v="&lt;02/01/2026"/>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27/03/2026"/>
        </groupItems>
      </fieldGroup>
    </cacheField>
    <cacheField name="Mois (Date d'émission)" numFmtId="0" databaseField="0">
      <fieldGroup base="1">
        <rangePr groupBy="months" startDate="2026-01-02T07:01:23" endDate="2026-03-27T13:55:59"/>
        <groupItems count="14">
          <s v="&lt;02/01/2026"/>
          <s v="janv"/>
          <s v="févr"/>
          <s v="mars"/>
          <s v="avr"/>
          <s v="mai"/>
          <s v="juin"/>
          <s v="juil"/>
          <s v="août"/>
          <s v="sept"/>
          <s v="oct"/>
          <s v="nov"/>
          <s v="déc"/>
          <s v="&gt;27/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s v="I26_000016"/>
    <x v="0"/>
    <s v="Clôturé"/>
    <x v="0"/>
    <x v="0"/>
    <x v="0"/>
    <x v="0"/>
  </r>
  <r>
    <s v="I26_000019"/>
    <x v="1"/>
    <s v="Clôturé"/>
    <x v="0"/>
    <x v="0"/>
    <x v="0"/>
    <x v="0"/>
  </r>
  <r>
    <s v="I26_000092"/>
    <x v="2"/>
    <s v="Clôturé"/>
    <x v="1"/>
    <x v="0"/>
    <x v="0"/>
    <x v="0"/>
  </r>
  <r>
    <s v="I26_000195"/>
    <x v="3"/>
    <s v="Clôturé"/>
    <x v="1"/>
    <x v="1"/>
    <x v="1"/>
    <x v="1"/>
  </r>
  <r>
    <s v="I26_000333"/>
    <x v="4"/>
    <s v="Clôturé"/>
    <x v="1"/>
    <x v="0"/>
    <x v="0"/>
    <x v="0"/>
  </r>
  <r>
    <s v="I26_000393"/>
    <x v="5"/>
    <s v="Clôturé"/>
    <x v="1"/>
    <x v="0"/>
    <x v="0"/>
    <x v="0"/>
  </r>
  <r>
    <s v="I26_000459"/>
    <x v="6"/>
    <s v="En attente de validation de la solution"/>
    <x v="1"/>
    <x v="1"/>
    <x v="1"/>
    <x v="1"/>
  </r>
  <r>
    <s v="I26_000482"/>
    <x v="7"/>
    <s v="Clôturé"/>
    <x v="1"/>
    <x v="1"/>
    <x v="2"/>
    <x v="2"/>
  </r>
  <r>
    <s v="I26_000495"/>
    <x v="8"/>
    <s v="Clôturé"/>
    <x v="1"/>
    <x v="0"/>
    <x v="0"/>
    <x v="0"/>
  </r>
  <r>
    <s v="I26_000516"/>
    <x v="9"/>
    <s v="Clôturé"/>
    <x v="1"/>
    <x v="0"/>
    <x v="0"/>
    <x v="0"/>
  </r>
  <r>
    <s v="I26_000526"/>
    <x v="10"/>
    <s v="Clôturé"/>
    <x v="1"/>
    <x v="0"/>
    <x v="0"/>
    <x v="0"/>
  </r>
  <r>
    <s v="I26_000549"/>
    <x v="11"/>
    <s v="Clôturé"/>
    <x v="1"/>
    <x v="1"/>
    <x v="3"/>
    <x v="2"/>
  </r>
  <r>
    <s v="I26_000574"/>
    <x v="12"/>
    <s v="Clôturé"/>
    <x v="1"/>
    <x v="1"/>
    <x v="4"/>
    <x v="3"/>
  </r>
  <r>
    <s v="I26_000593"/>
    <x v="13"/>
    <s v="Clôturé"/>
    <x v="1"/>
    <x v="0"/>
    <x v="0"/>
    <x v="0"/>
  </r>
  <r>
    <s v="I26_000602"/>
    <x v="14"/>
    <s v="Clôturé"/>
    <x v="1"/>
    <x v="1"/>
    <x v="5"/>
    <x v="2"/>
  </r>
  <r>
    <s v="I26_000670"/>
    <x v="15"/>
    <s v="Clôturé"/>
    <x v="1"/>
    <x v="1"/>
    <x v="3"/>
    <x v="2"/>
  </r>
  <r>
    <s v="I26_000728"/>
    <x v="16"/>
    <s v="Clôturé"/>
    <x v="1"/>
    <x v="1"/>
    <x v="3"/>
    <x v="4"/>
  </r>
  <r>
    <s v="I26_000738"/>
    <x v="17"/>
    <s v="Clôturé"/>
    <x v="1"/>
    <x v="1"/>
    <x v="6"/>
    <x v="5"/>
  </r>
  <r>
    <s v="I26_000809"/>
    <x v="18"/>
    <s v="Clôturé"/>
    <x v="1"/>
    <x v="1"/>
    <x v="2"/>
    <x v="3"/>
  </r>
  <r>
    <s v="I26_000907"/>
    <x v="19"/>
    <s v="Clôturé"/>
    <x v="1"/>
    <x v="0"/>
    <x v="0"/>
    <x v="0"/>
  </r>
  <r>
    <s v="I26_000919"/>
    <x v="20"/>
    <s v="Clôturé"/>
    <x v="1"/>
    <x v="1"/>
    <x v="4"/>
    <x v="3"/>
  </r>
  <r>
    <s v="I26_001100"/>
    <x v="21"/>
    <s v="Clôturé"/>
    <x v="1"/>
    <x v="0"/>
    <x v="0"/>
    <x v="0"/>
  </r>
  <r>
    <s v="I26_001193"/>
    <x v="22"/>
    <s v="Clôturé"/>
    <x v="1"/>
    <x v="1"/>
    <x v="1"/>
    <x v="2"/>
  </r>
  <r>
    <s v="I26_001228"/>
    <x v="23"/>
    <s v="Clôturé"/>
    <x v="1"/>
    <x v="0"/>
    <x v="0"/>
    <x v="0"/>
  </r>
  <r>
    <s v="I26_001255"/>
    <x v="24"/>
    <s v="Clôturé"/>
    <x v="1"/>
    <x v="0"/>
    <x v="0"/>
    <x v="0"/>
  </r>
  <r>
    <s v="I26_001310"/>
    <x v="25"/>
    <s v="Clôturé"/>
    <x v="1"/>
    <x v="0"/>
    <x v="0"/>
    <x v="0"/>
  </r>
  <r>
    <s v="I26_001359"/>
    <x v="26"/>
    <s v="Clôturé"/>
    <x v="1"/>
    <x v="1"/>
    <x v="3"/>
    <x v="3"/>
  </r>
  <r>
    <s v="I26_001372"/>
    <x v="27"/>
    <s v="En cours"/>
    <x v="1"/>
    <x v="1"/>
    <x v="1"/>
    <x v="1"/>
  </r>
  <r>
    <s v="I26_001380"/>
    <x v="28"/>
    <s v="Clôturé"/>
    <x v="1"/>
    <x v="0"/>
    <x v="0"/>
    <x v="0"/>
  </r>
  <r>
    <s v="I26_001385"/>
    <x v="29"/>
    <s v="Clôturé"/>
    <x v="1"/>
    <x v="0"/>
    <x v="0"/>
    <x v="0"/>
  </r>
  <r>
    <s v="I26_001459"/>
    <x v="30"/>
    <s v="Clôturé"/>
    <x v="1"/>
    <x v="0"/>
    <x v="0"/>
    <x v="0"/>
  </r>
  <r>
    <s v="I26_001460"/>
    <x v="31"/>
    <s v="En attente de validation de la solution"/>
    <x v="1"/>
    <x v="1"/>
    <x v="7"/>
    <x v="5"/>
  </r>
  <r>
    <s v="I26_001543"/>
    <x v="32"/>
    <s v="Clôturé"/>
    <x v="1"/>
    <x v="0"/>
    <x v="0"/>
    <x v="0"/>
  </r>
  <r>
    <s v="I26_001554"/>
    <x v="33"/>
    <s v="En attente"/>
    <x v="1"/>
    <x v="1"/>
    <x v="8"/>
    <x v="2"/>
  </r>
  <r>
    <s v="I26_001680"/>
    <x v="34"/>
    <s v="Clôturé"/>
    <x v="1"/>
    <x v="0"/>
    <x v="0"/>
    <x v="0"/>
  </r>
  <r>
    <s v="I26_001805"/>
    <x v="35"/>
    <s v="Clôturé"/>
    <x v="1"/>
    <x v="1"/>
    <x v="1"/>
    <x v="6"/>
  </r>
  <r>
    <s v="I26_001807"/>
    <x v="36"/>
    <s v="En attente"/>
    <x v="1"/>
    <x v="1"/>
    <x v="7"/>
    <x v="5"/>
  </r>
  <r>
    <s v="I26_001851"/>
    <x v="37"/>
    <s v="Clôturé"/>
    <x v="1"/>
    <x v="1"/>
    <x v="2"/>
    <x v="4"/>
  </r>
  <r>
    <s v="I26_001896"/>
    <x v="38"/>
    <s v="Clôturé"/>
    <x v="1"/>
    <x v="1"/>
    <x v="3"/>
    <x v="2"/>
  </r>
  <r>
    <s v="I26_001903"/>
    <x v="39"/>
    <s v="Clôturé"/>
    <x v="1"/>
    <x v="0"/>
    <x v="0"/>
    <x v="0"/>
  </r>
  <r>
    <s v="I26_001915"/>
    <x v="40"/>
    <s v="Clôturé"/>
    <x v="1"/>
    <x v="1"/>
    <x v="2"/>
    <x v="6"/>
  </r>
  <r>
    <s v="I26_002067"/>
    <x v="41"/>
    <s v="Clôturé"/>
    <x v="1"/>
    <x v="1"/>
    <x v="3"/>
    <x v="6"/>
  </r>
  <r>
    <s v="I26_002133"/>
    <x v="42"/>
    <s v="Clôturé"/>
    <x v="1"/>
    <x v="0"/>
    <x v="0"/>
    <x v="0"/>
  </r>
  <r>
    <s v="I26_002257"/>
    <x v="43"/>
    <s v="Clôturé"/>
    <x v="1"/>
    <x v="1"/>
    <x v="4"/>
    <x v="7"/>
  </r>
  <r>
    <s v="I26_002323"/>
    <x v="44"/>
    <s v="En cours"/>
    <x v="1"/>
    <x v="1"/>
    <x v="9"/>
    <x v="1"/>
  </r>
  <r>
    <s v="I26_002543"/>
    <x v="45"/>
    <s v="En attente"/>
    <x v="1"/>
    <x v="1"/>
    <x v="5"/>
    <x v="5"/>
  </r>
  <r>
    <s v="I26_002552"/>
    <x v="46"/>
    <s v="Clôturé"/>
    <x v="1"/>
    <x v="1"/>
    <x v="6"/>
    <x v="5"/>
  </r>
  <r>
    <s v="I26_002600"/>
    <x v="47"/>
    <s v="Clôturé"/>
    <x v="1"/>
    <x v="0"/>
    <x v="0"/>
    <x v="0"/>
  </r>
  <r>
    <s v="I26_002607"/>
    <x v="48"/>
    <s v="Clôturé"/>
    <x v="1"/>
    <x v="0"/>
    <x v="0"/>
    <x v="0"/>
  </r>
  <r>
    <s v="I26_002797"/>
    <x v="49"/>
    <s v="Clôturé"/>
    <x v="1"/>
    <x v="0"/>
    <x v="0"/>
    <x v="0"/>
  </r>
  <r>
    <s v="I26_002843"/>
    <x v="50"/>
    <s v="Clôturé"/>
    <x v="1"/>
    <x v="1"/>
    <x v="2"/>
    <x v="6"/>
  </r>
  <r>
    <s v="I26_002854"/>
    <x v="51"/>
    <s v="Clôturé"/>
    <x v="1"/>
    <x v="1"/>
    <x v="6"/>
    <x v="4"/>
  </r>
  <r>
    <s v="I26_002866"/>
    <x v="52"/>
    <s v="Clôturé"/>
    <x v="1"/>
    <x v="1"/>
    <x v="3"/>
    <x v="2"/>
  </r>
  <r>
    <s v="I26_002907"/>
    <x v="53"/>
    <s v="Clôturé"/>
    <x v="1"/>
    <x v="1"/>
    <x v="10"/>
    <x v="8"/>
  </r>
  <r>
    <s v="I26_002914"/>
    <x v="54"/>
    <s v="Clôturé"/>
    <x v="1"/>
    <x v="1"/>
    <x v="10"/>
    <x v="8"/>
  </r>
  <r>
    <s v="I26_002915"/>
    <x v="55"/>
    <s v="Clôturé"/>
    <x v="1"/>
    <x v="1"/>
    <x v="10"/>
    <x v="8"/>
  </r>
  <r>
    <s v="I26_002917"/>
    <x v="56"/>
    <s v="Clôturé"/>
    <x v="1"/>
    <x v="1"/>
    <x v="10"/>
    <x v="8"/>
  </r>
  <r>
    <s v="I26_002918"/>
    <x v="57"/>
    <s v="Clôturé"/>
    <x v="1"/>
    <x v="1"/>
    <x v="10"/>
    <x v="8"/>
  </r>
  <r>
    <s v="I26_002925"/>
    <x v="58"/>
    <s v="Clôturé"/>
    <x v="1"/>
    <x v="1"/>
    <x v="10"/>
    <x v="8"/>
  </r>
  <r>
    <s v="I26_002928"/>
    <x v="59"/>
    <s v="En cours"/>
    <x v="1"/>
    <x v="1"/>
    <x v="10"/>
    <x v="8"/>
  </r>
  <r>
    <s v="I26_002986"/>
    <x v="60"/>
    <s v="Clôturé"/>
    <x v="1"/>
    <x v="0"/>
    <x v="0"/>
    <x v="0"/>
  </r>
  <r>
    <s v="I26_003018"/>
    <x v="61"/>
    <s v="Clôturé"/>
    <x v="1"/>
    <x v="0"/>
    <x v="0"/>
    <x v="0"/>
  </r>
  <r>
    <s v="I26_003099"/>
    <x v="62"/>
    <s v="Clôturé"/>
    <x v="1"/>
    <x v="0"/>
    <x v="0"/>
    <x v="0"/>
  </r>
  <r>
    <s v="I26_003132"/>
    <x v="63"/>
    <s v="Clôturé"/>
    <x v="1"/>
    <x v="1"/>
    <x v="6"/>
    <x v="4"/>
  </r>
  <r>
    <s v="I26_003144"/>
    <x v="64"/>
    <s v="Clôturé"/>
    <x v="1"/>
    <x v="0"/>
    <x v="0"/>
    <x v="0"/>
  </r>
  <r>
    <s v="I26_003277"/>
    <x v="65"/>
    <s v="Clôturé"/>
    <x v="1"/>
    <x v="0"/>
    <x v="0"/>
    <x v="0"/>
  </r>
  <r>
    <s v="I26_003499"/>
    <x v="66"/>
    <s v="Clôturé"/>
    <x v="1"/>
    <x v="0"/>
    <x v="0"/>
    <x v="0"/>
  </r>
  <r>
    <s v="I26_003541"/>
    <x v="67"/>
    <s v="Clôturé"/>
    <x v="1"/>
    <x v="0"/>
    <x v="0"/>
    <x v="0"/>
  </r>
  <r>
    <s v="I26_003572"/>
    <x v="68"/>
    <s v="Clôturé"/>
    <x v="1"/>
    <x v="1"/>
    <x v="1"/>
    <x v="1"/>
  </r>
  <r>
    <s v="I26_003628"/>
    <x v="69"/>
    <s v="Clôturé"/>
    <x v="1"/>
    <x v="1"/>
    <x v="5"/>
    <x v="4"/>
  </r>
  <r>
    <s v="I26_003675"/>
    <x v="70"/>
    <s v="Clôturé"/>
    <x v="1"/>
    <x v="1"/>
    <x v="2"/>
    <x v="2"/>
  </r>
  <r>
    <s v="I26_003690"/>
    <x v="71"/>
    <s v="Clôturé"/>
    <x v="1"/>
    <x v="1"/>
    <x v="5"/>
    <x v="4"/>
  </r>
  <r>
    <s v="I26_003695"/>
    <x v="72"/>
    <s v="Clôturé"/>
    <x v="1"/>
    <x v="1"/>
    <x v="1"/>
    <x v="2"/>
  </r>
  <r>
    <s v="I26_003704"/>
    <x v="73"/>
    <s v="Clôturé"/>
    <x v="1"/>
    <x v="0"/>
    <x v="0"/>
    <x v="0"/>
  </r>
  <r>
    <s v="I26_003739"/>
    <x v="74"/>
    <s v="Clôturé"/>
    <x v="1"/>
    <x v="0"/>
    <x v="0"/>
    <x v="0"/>
  </r>
  <r>
    <s v="I26_003776"/>
    <x v="75"/>
    <s v="En attente"/>
    <x v="1"/>
    <x v="1"/>
    <x v="5"/>
    <x v="5"/>
  </r>
  <r>
    <s v="I26_003788"/>
    <x v="76"/>
    <s v="Clôturé"/>
    <x v="1"/>
    <x v="0"/>
    <x v="0"/>
    <x v="0"/>
  </r>
  <r>
    <s v="I26_003798"/>
    <x v="77"/>
    <s v="Clôturé"/>
    <x v="1"/>
    <x v="1"/>
    <x v="11"/>
    <x v="4"/>
  </r>
  <r>
    <s v="I26_003801"/>
    <x v="78"/>
    <s v="En attente de validation de l'analyse"/>
    <x v="1"/>
    <x v="1"/>
    <x v="6"/>
    <x v="5"/>
  </r>
  <r>
    <s v="I26_003884"/>
    <x v="79"/>
    <s v="Clôturé"/>
    <x v="1"/>
    <x v="0"/>
    <x v="0"/>
    <x v="0"/>
  </r>
  <r>
    <s v="I26_003888"/>
    <x v="80"/>
    <s v="Clôturé"/>
    <x v="1"/>
    <x v="0"/>
    <x v="0"/>
    <x v="0"/>
  </r>
  <r>
    <s v="I26_003898"/>
    <x v="81"/>
    <s v="Clôturé"/>
    <x v="1"/>
    <x v="0"/>
    <x v="0"/>
    <x v="0"/>
  </r>
  <r>
    <s v="I26_003979"/>
    <x v="82"/>
    <s v="Clôturé"/>
    <x v="1"/>
    <x v="0"/>
    <x v="0"/>
    <x v="0"/>
  </r>
  <r>
    <s v="I26_004044"/>
    <x v="83"/>
    <s v="Clôturé"/>
    <x v="1"/>
    <x v="1"/>
    <x v="12"/>
    <x v="2"/>
  </r>
  <r>
    <s v="I26_004074"/>
    <x v="84"/>
    <s v="Clôturé"/>
    <x v="1"/>
    <x v="1"/>
    <x v="2"/>
    <x v="6"/>
  </r>
  <r>
    <s v="I26_004086"/>
    <x v="85"/>
    <s v="En attente"/>
    <x v="1"/>
    <x v="1"/>
    <x v="6"/>
    <x v="4"/>
  </r>
  <r>
    <s v="I26_004107"/>
    <x v="86"/>
    <s v="Clôturé"/>
    <x v="1"/>
    <x v="1"/>
    <x v="7"/>
    <x v="5"/>
  </r>
  <r>
    <s v="I26_004109"/>
    <x v="87"/>
    <s v="Clôturé"/>
    <x v="1"/>
    <x v="1"/>
    <x v="9"/>
    <x v="5"/>
  </r>
  <r>
    <s v="I26_004112"/>
    <x v="88"/>
    <s v="Clôturé"/>
    <x v="1"/>
    <x v="1"/>
    <x v="5"/>
    <x v="4"/>
  </r>
  <r>
    <s v="I26_004113"/>
    <x v="89"/>
    <s v="Clôturé"/>
    <x v="1"/>
    <x v="1"/>
    <x v="7"/>
    <x v="5"/>
  </r>
  <r>
    <s v="I26_004188"/>
    <x v="90"/>
    <s v="Clôturé"/>
    <x v="1"/>
    <x v="0"/>
    <x v="0"/>
    <x v="0"/>
  </r>
  <r>
    <s v="I26_004268"/>
    <x v="91"/>
    <s v="Clôturé"/>
    <x v="2"/>
    <x v="0"/>
    <x v="0"/>
    <x v="0"/>
  </r>
  <r>
    <s v="I26_004309"/>
    <x v="92"/>
    <s v="Clôturé"/>
    <x v="1"/>
    <x v="1"/>
    <x v="6"/>
    <x v="2"/>
  </r>
  <r>
    <s v="I26_004320"/>
    <x v="93"/>
    <s v="Clôturé"/>
    <x v="1"/>
    <x v="1"/>
    <x v="3"/>
    <x v="2"/>
  </r>
  <r>
    <s v="I26_004349"/>
    <x v="94"/>
    <s v="Clôturé"/>
    <x v="1"/>
    <x v="1"/>
    <x v="2"/>
    <x v="2"/>
  </r>
  <r>
    <s v="I26_004372"/>
    <x v="95"/>
    <s v="Clôturé"/>
    <x v="1"/>
    <x v="0"/>
    <x v="0"/>
    <x v="0"/>
  </r>
  <r>
    <s v="I26_004381"/>
    <x v="96"/>
    <s v="Clôturé"/>
    <x v="1"/>
    <x v="1"/>
    <x v="7"/>
    <x v="2"/>
  </r>
  <r>
    <s v="I26_004382"/>
    <x v="97"/>
    <s v="Clôturé"/>
    <x v="1"/>
    <x v="1"/>
    <x v="1"/>
    <x v="6"/>
  </r>
  <r>
    <s v="I26_004401"/>
    <x v="98"/>
    <s v="Clôturé"/>
    <x v="1"/>
    <x v="0"/>
    <x v="0"/>
    <x v="0"/>
  </r>
  <r>
    <s v="I26_004402"/>
    <x v="99"/>
    <s v="Clôturé"/>
    <x v="1"/>
    <x v="0"/>
    <x v="0"/>
    <x v="0"/>
  </r>
  <r>
    <s v="I26_004468"/>
    <x v="100"/>
    <s v="En cours"/>
    <x v="1"/>
    <x v="1"/>
    <x v="3"/>
    <x v="6"/>
  </r>
  <r>
    <s v="I26_004505"/>
    <x v="101"/>
    <s v="Clôturé"/>
    <x v="1"/>
    <x v="1"/>
    <x v="3"/>
    <x v="2"/>
  </r>
  <r>
    <s v="I26_004508"/>
    <x v="102"/>
    <s v="Clôturé"/>
    <x v="1"/>
    <x v="1"/>
    <x v="3"/>
    <x v="2"/>
  </r>
  <r>
    <s v="I26_004546"/>
    <x v="103"/>
    <s v="En attente"/>
    <x v="1"/>
    <x v="1"/>
    <x v="13"/>
    <x v="9"/>
  </r>
  <r>
    <s v="I26_004614"/>
    <x v="104"/>
    <s v="Clôturé"/>
    <x v="1"/>
    <x v="1"/>
    <x v="4"/>
    <x v="10"/>
  </r>
  <r>
    <s v="I26_004616"/>
    <x v="105"/>
    <s v="En attente"/>
    <x v="1"/>
    <x v="1"/>
    <x v="2"/>
    <x v="10"/>
  </r>
  <r>
    <s v="I26_004720"/>
    <x v="106"/>
    <s v="Clôturé"/>
    <x v="1"/>
    <x v="0"/>
    <x v="0"/>
    <x v="0"/>
  </r>
  <r>
    <s v="I26_004753"/>
    <x v="107"/>
    <s v="Clôturé"/>
    <x v="1"/>
    <x v="0"/>
    <x v="0"/>
    <x v="0"/>
  </r>
  <r>
    <s v="I26_004761"/>
    <x v="108"/>
    <s v="Clôturé"/>
    <x v="1"/>
    <x v="0"/>
    <x v="0"/>
    <x v="0"/>
  </r>
  <r>
    <s v="I26_004774"/>
    <x v="109"/>
    <s v="Clôturé"/>
    <x v="1"/>
    <x v="0"/>
    <x v="0"/>
    <x v="0"/>
  </r>
  <r>
    <s v="I26_004790"/>
    <x v="110"/>
    <s v="Clôturé"/>
    <x v="1"/>
    <x v="1"/>
    <x v="4"/>
    <x v="10"/>
  </r>
  <r>
    <s v="I26_004809"/>
    <x v="111"/>
    <s v="En attente"/>
    <x v="1"/>
    <x v="1"/>
    <x v="1"/>
    <x v="1"/>
  </r>
  <r>
    <s v="I26_004810"/>
    <x v="112"/>
    <s v="Clôturé"/>
    <x v="1"/>
    <x v="1"/>
    <x v="1"/>
    <x v="10"/>
  </r>
  <r>
    <s v="I26_004841"/>
    <x v="113"/>
    <s v="Clôturé"/>
    <x v="1"/>
    <x v="0"/>
    <x v="0"/>
    <x v="0"/>
  </r>
  <r>
    <s v="I26_004891"/>
    <x v="114"/>
    <s v="Clôturé"/>
    <x v="1"/>
    <x v="0"/>
    <x v="0"/>
    <x v="0"/>
  </r>
  <r>
    <s v="I26_004939"/>
    <x v="115"/>
    <s v="Clôturé"/>
    <x v="1"/>
    <x v="1"/>
    <x v="1"/>
    <x v="10"/>
  </r>
  <r>
    <s v="I26_004958"/>
    <x v="116"/>
    <s v="Clôturé"/>
    <x v="1"/>
    <x v="1"/>
    <x v="14"/>
    <x v="5"/>
  </r>
  <r>
    <s v="I26_004959"/>
    <x v="117"/>
    <s v="En attente"/>
    <x v="1"/>
    <x v="1"/>
    <x v="14"/>
    <x v="5"/>
  </r>
  <r>
    <s v="I26_004981"/>
    <x v="118"/>
    <s v="Redirigé"/>
    <x v="1"/>
    <x v="1"/>
    <x v="15"/>
    <x v="2"/>
  </r>
  <r>
    <s v="I26_005173"/>
    <x v="119"/>
    <s v="Clôturé"/>
    <x v="1"/>
    <x v="1"/>
    <x v="2"/>
    <x v="2"/>
  </r>
  <r>
    <s v="I26_005221"/>
    <x v="120"/>
    <s v="Clôturé"/>
    <x v="1"/>
    <x v="1"/>
    <x v="3"/>
    <x v="2"/>
  </r>
  <r>
    <s v="I26_005222"/>
    <x v="121"/>
    <s v="Clôturé"/>
    <x v="3"/>
    <x v="0"/>
    <x v="0"/>
    <x v="0"/>
  </r>
  <r>
    <s v="I26_005228"/>
    <x v="122"/>
    <s v="Clôturé"/>
    <x v="1"/>
    <x v="1"/>
    <x v="16"/>
    <x v="7"/>
  </r>
  <r>
    <s v="I26_005244"/>
    <x v="123"/>
    <s v="Clôturé"/>
    <x v="1"/>
    <x v="0"/>
    <x v="0"/>
    <x v="0"/>
  </r>
  <r>
    <s v="I26_005246"/>
    <x v="124"/>
    <s v="Clôturé"/>
    <x v="1"/>
    <x v="0"/>
    <x v="0"/>
    <x v="0"/>
  </r>
  <r>
    <s v="I26_005254"/>
    <x v="125"/>
    <s v="Clôturé"/>
    <x v="1"/>
    <x v="0"/>
    <x v="0"/>
    <x v="0"/>
  </r>
  <r>
    <s v="I26_005273"/>
    <x v="126"/>
    <s v="Clôturé"/>
    <x v="1"/>
    <x v="1"/>
    <x v="8"/>
    <x v="2"/>
  </r>
  <r>
    <s v="I26_005281"/>
    <x v="127"/>
    <s v="Clôturé"/>
    <x v="1"/>
    <x v="0"/>
    <x v="0"/>
    <x v="0"/>
  </r>
  <r>
    <s v="I26_005293"/>
    <x v="128"/>
    <s v="Clôturé"/>
    <x v="1"/>
    <x v="0"/>
    <x v="0"/>
    <x v="0"/>
  </r>
  <r>
    <s v="I26_005298"/>
    <x v="129"/>
    <s v="Clôturé"/>
    <x v="1"/>
    <x v="0"/>
    <x v="0"/>
    <x v="0"/>
  </r>
  <r>
    <s v="I26_005302"/>
    <x v="130"/>
    <s v="Clôturé"/>
    <x v="1"/>
    <x v="1"/>
    <x v="1"/>
    <x v="10"/>
  </r>
  <r>
    <s v="I26_005308"/>
    <x v="131"/>
    <s v="Clôturé"/>
    <x v="1"/>
    <x v="0"/>
    <x v="0"/>
    <x v="0"/>
  </r>
  <r>
    <s v="I26_005312"/>
    <x v="132"/>
    <s v="Résolu"/>
    <x v="1"/>
    <x v="1"/>
    <x v="1"/>
    <x v="1"/>
  </r>
  <r>
    <s v="I26_005346"/>
    <x v="133"/>
    <s v="En attente de validation de l'analyse"/>
    <x v="1"/>
    <x v="1"/>
    <x v="1"/>
    <x v="10"/>
  </r>
  <r>
    <s v="I26_005355"/>
    <x v="134"/>
    <s v="Clôturé"/>
    <x v="1"/>
    <x v="1"/>
    <x v="2"/>
    <x v="11"/>
  </r>
  <r>
    <s v="I26_005357"/>
    <x v="135"/>
    <s v="Clôturé"/>
    <x v="1"/>
    <x v="0"/>
    <x v="0"/>
    <x v="0"/>
  </r>
  <r>
    <s v="I26_005381"/>
    <x v="136"/>
    <s v="Clôturé"/>
    <x v="1"/>
    <x v="1"/>
    <x v="2"/>
    <x v="6"/>
  </r>
  <r>
    <s v="I26_005422"/>
    <x v="137"/>
    <s v="Clôturé"/>
    <x v="1"/>
    <x v="1"/>
    <x v="1"/>
    <x v="6"/>
  </r>
  <r>
    <s v="I26_005483"/>
    <x v="138"/>
    <s v="Clôturé"/>
    <x v="1"/>
    <x v="1"/>
    <x v="4"/>
    <x v="10"/>
  </r>
  <r>
    <s v="I26_005526"/>
    <x v="139"/>
    <s v="Clôturé"/>
    <x v="1"/>
    <x v="0"/>
    <x v="0"/>
    <x v="0"/>
  </r>
  <r>
    <s v="I26_005554"/>
    <x v="140"/>
    <s v="Clôturé"/>
    <x v="1"/>
    <x v="1"/>
    <x v="3"/>
    <x v="2"/>
  </r>
  <r>
    <s v="I26_005565"/>
    <x v="141"/>
    <s v="Clôturé"/>
    <x v="1"/>
    <x v="1"/>
    <x v="2"/>
    <x v="6"/>
  </r>
  <r>
    <s v="I26_005596"/>
    <x v="142"/>
    <s v="Clôturé"/>
    <x v="1"/>
    <x v="1"/>
    <x v="9"/>
    <x v="2"/>
  </r>
  <r>
    <s v="I26_005639"/>
    <x v="143"/>
    <s v="Corrigé"/>
    <x v="1"/>
    <x v="1"/>
    <x v="2"/>
    <x v="5"/>
  </r>
  <r>
    <s v="I26_005643"/>
    <x v="144"/>
    <s v="Clôturé"/>
    <x v="1"/>
    <x v="1"/>
    <x v="5"/>
    <x v="5"/>
  </r>
  <r>
    <s v="I26_005694"/>
    <x v="145"/>
    <s v="En attente"/>
    <x v="1"/>
    <x v="1"/>
    <x v="17"/>
    <x v="5"/>
  </r>
  <r>
    <s v="I26_005702"/>
    <x v="146"/>
    <s v="Clôturé"/>
    <x v="1"/>
    <x v="0"/>
    <x v="0"/>
    <x v="0"/>
  </r>
  <r>
    <s v="I26_005728"/>
    <x v="147"/>
    <s v="En attente"/>
    <x v="1"/>
    <x v="1"/>
    <x v="2"/>
    <x v="7"/>
  </r>
  <r>
    <s v="I26_005752"/>
    <x v="148"/>
    <s v="Clôturé"/>
    <x v="1"/>
    <x v="0"/>
    <x v="0"/>
    <x v="0"/>
  </r>
  <r>
    <s v="I26_005763"/>
    <x v="149"/>
    <s v="Clôturé"/>
    <x v="1"/>
    <x v="1"/>
    <x v="1"/>
    <x v="10"/>
  </r>
  <r>
    <s v="I26_005780"/>
    <x v="150"/>
    <s v="Clôturé"/>
    <x v="1"/>
    <x v="0"/>
    <x v="0"/>
    <x v="0"/>
  </r>
  <r>
    <s v="I26_005792"/>
    <x v="151"/>
    <s v="Clôturé"/>
    <x v="1"/>
    <x v="1"/>
    <x v="4"/>
    <x v="10"/>
  </r>
  <r>
    <s v="I26_005803"/>
    <x v="152"/>
    <s v="Clôturé"/>
    <x v="1"/>
    <x v="0"/>
    <x v="0"/>
    <x v="0"/>
  </r>
  <r>
    <s v="I26_005861"/>
    <x v="153"/>
    <s v="Clôturé"/>
    <x v="0"/>
    <x v="0"/>
    <x v="0"/>
    <x v="0"/>
  </r>
  <r>
    <s v="I26_005876"/>
    <x v="154"/>
    <s v="Clôturé"/>
    <x v="1"/>
    <x v="1"/>
    <x v="4"/>
    <x v="10"/>
  </r>
  <r>
    <s v="I26_005958"/>
    <x v="155"/>
    <s v="Clôturé"/>
    <x v="1"/>
    <x v="1"/>
    <x v="4"/>
    <x v="10"/>
  </r>
  <r>
    <s v="I26_005968"/>
    <x v="156"/>
    <s v="Clôturé"/>
    <x v="1"/>
    <x v="0"/>
    <x v="0"/>
    <x v="0"/>
  </r>
  <r>
    <s v="I26_006014"/>
    <x v="157"/>
    <s v="Clôturé"/>
    <x v="1"/>
    <x v="0"/>
    <x v="0"/>
    <x v="0"/>
  </r>
  <r>
    <s v="I26_006095"/>
    <x v="158"/>
    <s v="En cours"/>
    <x v="1"/>
    <x v="1"/>
    <x v="3"/>
    <x v="2"/>
  </r>
  <r>
    <s v="I26_006122"/>
    <x v="159"/>
    <s v="Clôturé"/>
    <x v="1"/>
    <x v="0"/>
    <x v="0"/>
    <x v="0"/>
  </r>
  <r>
    <s v="I26_006149"/>
    <x v="160"/>
    <s v="Clôturé"/>
    <x v="1"/>
    <x v="1"/>
    <x v="18"/>
    <x v="2"/>
  </r>
  <r>
    <s v="I26_006221"/>
    <x v="161"/>
    <s v="Redirigé"/>
    <x v="3"/>
    <x v="0"/>
    <x v="0"/>
    <x v="0"/>
  </r>
  <r>
    <s v="I26_006295"/>
    <x v="162"/>
    <s v="Clôturé"/>
    <x v="1"/>
    <x v="1"/>
    <x v="18"/>
    <x v="2"/>
  </r>
  <r>
    <s v="I26_006321"/>
    <x v="163"/>
    <s v="Clôturé"/>
    <x v="0"/>
    <x v="0"/>
    <x v="0"/>
    <x v="0"/>
  </r>
  <r>
    <s v="I26_006381"/>
    <x v="164"/>
    <s v="Clôturé"/>
    <x v="1"/>
    <x v="0"/>
    <x v="0"/>
    <x v="0"/>
  </r>
  <r>
    <s v="I26_006428"/>
    <x v="165"/>
    <s v="Clôturé"/>
    <x v="1"/>
    <x v="1"/>
    <x v="1"/>
    <x v="10"/>
  </r>
  <r>
    <s v="I26_006444"/>
    <x v="166"/>
    <s v="En cours"/>
    <x v="1"/>
    <x v="1"/>
    <x v="4"/>
    <x v="10"/>
  </r>
  <r>
    <s v="I26_006466"/>
    <x v="167"/>
    <s v="Clôturé"/>
    <x v="1"/>
    <x v="0"/>
    <x v="0"/>
    <x v="0"/>
  </r>
  <r>
    <s v="I26_006536"/>
    <x v="168"/>
    <s v="Clôturé"/>
    <x v="1"/>
    <x v="1"/>
    <x v="1"/>
    <x v="10"/>
  </r>
  <r>
    <s v="I26_006552"/>
    <x v="169"/>
    <s v="Clôturé"/>
    <x v="1"/>
    <x v="0"/>
    <x v="0"/>
    <x v="0"/>
  </r>
  <r>
    <s v="I26_006560"/>
    <x v="170"/>
    <s v="Clôturé"/>
    <x v="1"/>
    <x v="0"/>
    <x v="0"/>
    <x v="0"/>
  </r>
  <r>
    <s v="I26_006580"/>
    <x v="171"/>
    <s v="Clôturé"/>
    <x v="1"/>
    <x v="0"/>
    <x v="0"/>
    <x v="0"/>
  </r>
  <r>
    <s v="I26_006600"/>
    <x v="172"/>
    <s v="Clôturé"/>
    <x v="1"/>
    <x v="1"/>
    <x v="2"/>
    <x v="11"/>
  </r>
  <r>
    <s v="I26_006612"/>
    <x v="173"/>
    <s v="Clôturé"/>
    <x v="1"/>
    <x v="1"/>
    <x v="1"/>
    <x v="1"/>
  </r>
  <r>
    <s v="I26_006614"/>
    <x v="174"/>
    <s v="Clôturé"/>
    <x v="1"/>
    <x v="0"/>
    <x v="0"/>
    <x v="0"/>
  </r>
  <r>
    <s v="I26_006632"/>
    <x v="175"/>
    <s v="Clôturé"/>
    <x v="1"/>
    <x v="0"/>
    <x v="0"/>
    <x v="0"/>
  </r>
  <r>
    <s v="I26_006663"/>
    <x v="176"/>
    <s v="Clôturé"/>
    <x v="1"/>
    <x v="1"/>
    <x v="2"/>
    <x v="10"/>
  </r>
  <r>
    <s v="I26_006665"/>
    <x v="177"/>
    <s v="Clôturé"/>
    <x v="1"/>
    <x v="1"/>
    <x v="2"/>
    <x v="6"/>
  </r>
  <r>
    <s v="I26_006678"/>
    <x v="178"/>
    <s v="Clôturé"/>
    <x v="1"/>
    <x v="1"/>
    <x v="14"/>
    <x v="6"/>
  </r>
  <r>
    <s v="I26_006696"/>
    <x v="179"/>
    <s v="Clôturé"/>
    <x v="1"/>
    <x v="1"/>
    <x v="1"/>
    <x v="6"/>
  </r>
  <r>
    <s v="I26_006707"/>
    <x v="180"/>
    <s v="Clôturé"/>
    <x v="1"/>
    <x v="1"/>
    <x v="2"/>
    <x v="6"/>
  </r>
  <r>
    <s v="I26_006808"/>
    <x v="181"/>
    <s v="Clôturé"/>
    <x v="1"/>
    <x v="1"/>
    <x v="6"/>
    <x v="7"/>
  </r>
  <r>
    <s v="I26_006821"/>
    <x v="182"/>
    <s v="Clôturé"/>
    <x v="1"/>
    <x v="0"/>
    <x v="0"/>
    <x v="0"/>
  </r>
  <r>
    <s v="I26_006825"/>
    <x v="183"/>
    <s v="Clôturé"/>
    <x v="1"/>
    <x v="0"/>
    <x v="0"/>
    <x v="0"/>
  </r>
  <r>
    <s v="I26_006850"/>
    <x v="184"/>
    <s v="Clôturé"/>
    <x v="1"/>
    <x v="1"/>
    <x v="1"/>
    <x v="6"/>
  </r>
  <r>
    <s v="I26_006868"/>
    <x v="185"/>
    <s v="Clôturé"/>
    <x v="1"/>
    <x v="1"/>
    <x v="5"/>
    <x v="4"/>
  </r>
  <r>
    <s v="I26_006920"/>
    <x v="186"/>
    <s v="Annulé"/>
    <x v="1"/>
    <x v="0"/>
    <x v="0"/>
    <x v="0"/>
  </r>
  <r>
    <s v="I26_006936"/>
    <x v="187"/>
    <s v="Clôturé"/>
    <x v="1"/>
    <x v="1"/>
    <x v="2"/>
    <x v="6"/>
  </r>
  <r>
    <s v="I26_006941"/>
    <x v="188"/>
    <s v="Clôturé"/>
    <x v="1"/>
    <x v="1"/>
    <x v="2"/>
    <x v="2"/>
  </r>
  <r>
    <s v="I26_006976"/>
    <x v="189"/>
    <s v="Clôturé"/>
    <x v="1"/>
    <x v="0"/>
    <x v="0"/>
    <x v="0"/>
  </r>
  <r>
    <s v="I26_007009"/>
    <x v="190"/>
    <s v="En attente de validation de la solution"/>
    <x v="1"/>
    <x v="1"/>
    <x v="2"/>
    <x v="5"/>
  </r>
  <r>
    <s v="I26_007051"/>
    <x v="191"/>
    <s v="Clôturé"/>
    <x v="1"/>
    <x v="0"/>
    <x v="0"/>
    <x v="0"/>
  </r>
  <r>
    <s v="I26_007103"/>
    <x v="192"/>
    <s v="Clôturé"/>
    <x v="1"/>
    <x v="0"/>
    <x v="0"/>
    <x v="0"/>
  </r>
  <r>
    <s v="I26_007105"/>
    <x v="193"/>
    <s v="Clôturé"/>
    <x v="1"/>
    <x v="0"/>
    <x v="0"/>
    <x v="0"/>
  </r>
  <r>
    <s v="I26_007259"/>
    <x v="194"/>
    <s v="Clôturé"/>
    <x v="1"/>
    <x v="1"/>
    <x v="2"/>
    <x v="10"/>
  </r>
  <r>
    <s v="I26_007363"/>
    <x v="195"/>
    <s v="Clôturé"/>
    <x v="1"/>
    <x v="0"/>
    <x v="0"/>
    <x v="0"/>
  </r>
  <r>
    <s v="I26_007509"/>
    <x v="196"/>
    <s v="Clôturé"/>
    <x v="1"/>
    <x v="1"/>
    <x v="4"/>
    <x v="3"/>
  </r>
  <r>
    <s v="I26_007520"/>
    <x v="197"/>
    <s v="Annulé"/>
    <x v="1"/>
    <x v="1"/>
    <x v="5"/>
    <x v="4"/>
  </r>
  <r>
    <s v="I26_007533"/>
    <x v="198"/>
    <s v="Clôturé"/>
    <x v="1"/>
    <x v="1"/>
    <x v="15"/>
    <x v="4"/>
  </r>
  <r>
    <s v="I26_007543"/>
    <x v="199"/>
    <s v="Clôturé"/>
    <x v="1"/>
    <x v="1"/>
    <x v="18"/>
    <x v="2"/>
  </r>
  <r>
    <s v="I26_007554"/>
    <x v="200"/>
    <s v="Annulé"/>
    <x v="1"/>
    <x v="1"/>
    <x v="5"/>
    <x v="4"/>
  </r>
  <r>
    <s v="I26_007558"/>
    <x v="201"/>
    <s v="En attente"/>
    <x v="1"/>
    <x v="1"/>
    <x v="5"/>
    <x v="2"/>
  </r>
  <r>
    <s v="I26_007571"/>
    <x v="202"/>
    <s v="Clôturé"/>
    <x v="1"/>
    <x v="1"/>
    <x v="5"/>
    <x v="4"/>
  </r>
  <r>
    <s v="I26_007635"/>
    <x v="203"/>
    <s v="Clôturé"/>
    <x v="1"/>
    <x v="1"/>
    <x v="2"/>
    <x v="5"/>
  </r>
  <r>
    <s v="I26_007648"/>
    <x v="204"/>
    <s v="Clôturé"/>
    <x v="1"/>
    <x v="1"/>
    <x v="9"/>
    <x v="4"/>
  </r>
  <r>
    <s v="I26_007673"/>
    <x v="205"/>
    <s v="Clôturé"/>
    <x v="1"/>
    <x v="1"/>
    <x v="2"/>
    <x v="11"/>
  </r>
  <r>
    <s v="I26_007677"/>
    <x v="206"/>
    <s v="Clôturé"/>
    <x v="1"/>
    <x v="1"/>
    <x v="2"/>
    <x v="11"/>
  </r>
  <r>
    <s v="I26_007679"/>
    <x v="207"/>
    <s v="Clôturé"/>
    <x v="1"/>
    <x v="1"/>
    <x v="2"/>
    <x v="4"/>
  </r>
  <r>
    <s v="I26_007683"/>
    <x v="208"/>
    <s v="En cours"/>
    <x v="1"/>
    <x v="1"/>
    <x v="9"/>
    <x v="4"/>
  </r>
  <r>
    <s v="I26_007740"/>
    <x v="209"/>
    <s v="Clôturé"/>
    <x v="1"/>
    <x v="1"/>
    <x v="2"/>
    <x v="5"/>
  </r>
  <r>
    <s v="I26_007741"/>
    <x v="210"/>
    <s v="Clôturé"/>
    <x v="1"/>
    <x v="1"/>
    <x v="5"/>
    <x v="2"/>
  </r>
  <r>
    <s v="I26_007815"/>
    <x v="211"/>
    <s v="En attente de validation de l'analyse"/>
    <x v="1"/>
    <x v="1"/>
    <x v="5"/>
    <x v="2"/>
  </r>
  <r>
    <s v="I26_007870"/>
    <x v="212"/>
    <s v="Clôturé"/>
    <x v="1"/>
    <x v="1"/>
    <x v="3"/>
    <x v="4"/>
  </r>
  <r>
    <s v="I26_007916"/>
    <x v="213"/>
    <s v="Clôturé"/>
    <x v="1"/>
    <x v="1"/>
    <x v="2"/>
    <x v="7"/>
  </r>
  <r>
    <s v="I26_007919"/>
    <x v="214"/>
    <s v="Clôturé"/>
    <x v="1"/>
    <x v="1"/>
    <x v="2"/>
    <x v="6"/>
  </r>
  <r>
    <s v="I26_007921"/>
    <x v="215"/>
    <s v="Clôturé"/>
    <x v="1"/>
    <x v="1"/>
    <x v="2"/>
    <x v="6"/>
  </r>
  <r>
    <s v="I26_007926"/>
    <x v="216"/>
    <s v="En attente de validation de la solution"/>
    <x v="1"/>
    <x v="1"/>
    <x v="15"/>
    <x v="2"/>
  </r>
  <r>
    <s v="I26_007930"/>
    <x v="217"/>
    <s v="Clôturé"/>
    <x v="1"/>
    <x v="1"/>
    <x v="2"/>
    <x v="11"/>
  </r>
  <r>
    <s v="I26_007972"/>
    <x v="218"/>
    <s v="Clôturé"/>
    <x v="1"/>
    <x v="0"/>
    <x v="0"/>
    <x v="0"/>
  </r>
  <r>
    <s v="I26_008012"/>
    <x v="219"/>
    <s v="Clôturé"/>
    <x v="1"/>
    <x v="1"/>
    <x v="5"/>
    <x v="4"/>
  </r>
  <r>
    <s v="I26_008018"/>
    <x v="220"/>
    <s v="En attente"/>
    <x v="1"/>
    <x v="1"/>
    <x v="5"/>
    <x v="2"/>
  </r>
  <r>
    <s v="I26_008028"/>
    <x v="221"/>
    <s v="Clôturé"/>
    <x v="1"/>
    <x v="0"/>
    <x v="0"/>
    <x v="0"/>
  </r>
  <r>
    <s v="I26_008057"/>
    <x v="222"/>
    <s v="Clôturé"/>
    <x v="1"/>
    <x v="1"/>
    <x v="3"/>
    <x v="2"/>
  </r>
  <r>
    <s v="I26_008238"/>
    <x v="223"/>
    <s v="Clôturé"/>
    <x v="1"/>
    <x v="1"/>
    <x v="1"/>
    <x v="6"/>
  </r>
  <r>
    <s v="I26_008280"/>
    <x v="224"/>
    <s v="Clôturé"/>
    <x v="1"/>
    <x v="0"/>
    <x v="0"/>
    <x v="0"/>
  </r>
  <r>
    <s v="I26_008340"/>
    <x v="225"/>
    <s v="Clôturé"/>
    <x v="1"/>
    <x v="0"/>
    <x v="0"/>
    <x v="0"/>
  </r>
  <r>
    <s v="I26_008346"/>
    <x v="226"/>
    <s v="Clôturé"/>
    <x v="1"/>
    <x v="1"/>
    <x v="9"/>
    <x v="7"/>
  </r>
  <r>
    <s v="I26_008378"/>
    <x v="227"/>
    <s v="Clôturé"/>
    <x v="1"/>
    <x v="1"/>
    <x v="1"/>
    <x v="2"/>
  </r>
  <r>
    <s v="I26_008381"/>
    <x v="228"/>
    <s v="Clôturé"/>
    <x v="1"/>
    <x v="1"/>
    <x v="1"/>
    <x v="10"/>
  </r>
  <r>
    <s v="I26_008440"/>
    <x v="229"/>
    <s v="Clôturé"/>
    <x v="1"/>
    <x v="0"/>
    <x v="0"/>
    <x v="0"/>
  </r>
  <r>
    <s v="I26_008444"/>
    <x v="230"/>
    <s v="Clôturé"/>
    <x v="1"/>
    <x v="1"/>
    <x v="1"/>
    <x v="2"/>
  </r>
  <r>
    <s v="I26_008455"/>
    <x v="231"/>
    <s v="Clôturé"/>
    <x v="1"/>
    <x v="1"/>
    <x v="2"/>
    <x v="2"/>
  </r>
  <r>
    <s v="I26_008458"/>
    <x v="232"/>
    <s v="Clôturé"/>
    <x v="1"/>
    <x v="1"/>
    <x v="2"/>
    <x v="2"/>
  </r>
  <r>
    <s v="I26_008489"/>
    <x v="233"/>
    <s v="Clôturé"/>
    <x v="1"/>
    <x v="1"/>
    <x v="5"/>
    <x v="4"/>
  </r>
  <r>
    <s v="I26_008544"/>
    <x v="234"/>
    <s v="Clôturé"/>
    <x v="1"/>
    <x v="1"/>
    <x v="17"/>
    <x v="2"/>
  </r>
  <r>
    <s v="I26_008577"/>
    <x v="235"/>
    <s v="Clôturé"/>
    <x v="1"/>
    <x v="1"/>
    <x v="2"/>
    <x v="10"/>
  </r>
  <r>
    <s v="I26_008591"/>
    <x v="236"/>
    <s v="Clôturé"/>
    <x v="1"/>
    <x v="0"/>
    <x v="0"/>
    <x v="0"/>
  </r>
  <r>
    <s v="I26_008638"/>
    <x v="237"/>
    <s v="Clôturé"/>
    <x v="1"/>
    <x v="0"/>
    <x v="0"/>
    <x v="0"/>
  </r>
  <r>
    <s v="I26_008673"/>
    <x v="238"/>
    <s v="En attente"/>
    <x v="1"/>
    <x v="1"/>
    <x v="11"/>
    <x v="4"/>
  </r>
  <r>
    <s v="I26_008822"/>
    <x v="239"/>
    <s v="En attente"/>
    <x v="1"/>
    <x v="1"/>
    <x v="2"/>
    <x v="5"/>
  </r>
  <r>
    <s v="I26_008827"/>
    <x v="240"/>
    <s v="En cours"/>
    <x v="1"/>
    <x v="1"/>
    <x v="9"/>
    <x v="4"/>
  </r>
  <r>
    <s v="I26_008829"/>
    <x v="241"/>
    <s v="Clôturé"/>
    <x v="1"/>
    <x v="1"/>
    <x v="1"/>
    <x v="2"/>
  </r>
  <r>
    <s v="I26_008850"/>
    <x v="242"/>
    <s v="Clôturé"/>
    <x v="1"/>
    <x v="0"/>
    <x v="0"/>
    <x v="0"/>
  </r>
  <r>
    <s v="I26_008874"/>
    <x v="243"/>
    <s v="Clôturé"/>
    <x v="1"/>
    <x v="1"/>
    <x v="3"/>
    <x v="6"/>
  </r>
  <r>
    <s v="I26_009088"/>
    <x v="244"/>
    <s v="En attente"/>
    <x v="1"/>
    <x v="1"/>
    <x v="9"/>
    <x v="5"/>
  </r>
  <r>
    <s v="I26_009091"/>
    <x v="245"/>
    <s v="En attente de validation de la solution"/>
    <x v="1"/>
    <x v="1"/>
    <x v="15"/>
    <x v="5"/>
  </r>
  <r>
    <s v="I26_009100"/>
    <x v="246"/>
    <s v="Clôturé"/>
    <x v="1"/>
    <x v="0"/>
    <x v="0"/>
    <x v="0"/>
  </r>
  <r>
    <s v="I26_009167"/>
    <x v="247"/>
    <s v="Clôturé"/>
    <x v="1"/>
    <x v="1"/>
    <x v="1"/>
    <x v="1"/>
  </r>
  <r>
    <s v="I26_009212"/>
    <x v="248"/>
    <s v="Clôturé"/>
    <x v="1"/>
    <x v="1"/>
    <x v="1"/>
    <x v="6"/>
  </r>
  <r>
    <s v="I26_009253"/>
    <x v="249"/>
    <s v="Corrigé"/>
    <x v="1"/>
    <x v="1"/>
    <x v="2"/>
    <x v="5"/>
  </r>
  <r>
    <s v="I26_009262"/>
    <x v="250"/>
    <s v="Clôturé"/>
    <x v="1"/>
    <x v="1"/>
    <x v="1"/>
    <x v="10"/>
  </r>
  <r>
    <s v="I26_009280"/>
    <x v="251"/>
    <s v="Clôturé"/>
    <x v="1"/>
    <x v="0"/>
    <x v="0"/>
    <x v="0"/>
  </r>
  <r>
    <s v="I26_009301"/>
    <x v="252"/>
    <s v="Clôturé"/>
    <x v="1"/>
    <x v="0"/>
    <x v="0"/>
    <x v="0"/>
  </r>
  <r>
    <s v="I26_009352"/>
    <x v="253"/>
    <s v="Clôturé"/>
    <x v="2"/>
    <x v="0"/>
    <x v="0"/>
    <x v="0"/>
  </r>
  <r>
    <s v="I26_009452"/>
    <x v="254"/>
    <s v="En cours"/>
    <x v="1"/>
    <x v="1"/>
    <x v="5"/>
    <x v="2"/>
  </r>
  <r>
    <s v="I26_009458"/>
    <x v="255"/>
    <s v="Clôturé"/>
    <x v="1"/>
    <x v="0"/>
    <x v="0"/>
    <x v="0"/>
  </r>
  <r>
    <s v="I26_009548"/>
    <x v="256"/>
    <s v="Clôturé"/>
    <x v="1"/>
    <x v="0"/>
    <x v="0"/>
    <x v="0"/>
  </r>
  <r>
    <s v="I26_009663"/>
    <x v="257"/>
    <s v="Clôturé"/>
    <x v="1"/>
    <x v="0"/>
    <x v="0"/>
    <x v="0"/>
  </r>
  <r>
    <s v="I26_009707"/>
    <x v="258"/>
    <s v="Clôturé"/>
    <x v="1"/>
    <x v="1"/>
    <x v="6"/>
    <x v="2"/>
  </r>
  <r>
    <s v="I26_009735"/>
    <x v="259"/>
    <s v="Clôturé"/>
    <x v="1"/>
    <x v="1"/>
    <x v="2"/>
    <x v="2"/>
  </r>
  <r>
    <s v="I26_009758"/>
    <x v="260"/>
    <s v="Clôturé"/>
    <x v="2"/>
    <x v="0"/>
    <x v="0"/>
    <x v="0"/>
  </r>
  <r>
    <s v="I26_009790"/>
    <x v="261"/>
    <s v="Clôturé"/>
    <x v="1"/>
    <x v="1"/>
    <x v="2"/>
    <x v="10"/>
  </r>
  <r>
    <s v="I26_009827"/>
    <x v="262"/>
    <s v="Clôturé"/>
    <x v="1"/>
    <x v="1"/>
    <x v="15"/>
    <x v="2"/>
  </r>
  <r>
    <s v="I26_009878"/>
    <x v="263"/>
    <s v="En attente"/>
    <x v="1"/>
    <x v="1"/>
    <x v="10"/>
    <x v="8"/>
  </r>
  <r>
    <s v="I26_009884"/>
    <x v="264"/>
    <s v="Clôturé"/>
    <x v="1"/>
    <x v="1"/>
    <x v="10"/>
    <x v="8"/>
  </r>
  <r>
    <s v="I26_009954"/>
    <x v="265"/>
    <s v="Clôturé"/>
    <x v="1"/>
    <x v="1"/>
    <x v="2"/>
    <x v="11"/>
  </r>
  <r>
    <s v="I26_009984"/>
    <x v="266"/>
    <s v="Clôturé"/>
    <x v="1"/>
    <x v="0"/>
    <x v="0"/>
    <x v="0"/>
  </r>
  <r>
    <s v="I26_009993"/>
    <x v="267"/>
    <s v="Clôturé"/>
    <x v="1"/>
    <x v="1"/>
    <x v="10"/>
    <x v="8"/>
  </r>
  <r>
    <s v="I26_010002"/>
    <x v="268"/>
    <s v="En cours"/>
    <x v="1"/>
    <x v="1"/>
    <x v="10"/>
    <x v="8"/>
  </r>
  <r>
    <s v="I26_010003"/>
    <x v="269"/>
    <s v="Clôturé"/>
    <x v="1"/>
    <x v="1"/>
    <x v="10"/>
    <x v="8"/>
  </r>
  <r>
    <s v="I26_010006"/>
    <x v="270"/>
    <s v="En attente"/>
    <x v="1"/>
    <x v="1"/>
    <x v="4"/>
    <x v="12"/>
  </r>
  <r>
    <s v="I26_010030"/>
    <x v="271"/>
    <s v="Clôturé"/>
    <x v="1"/>
    <x v="1"/>
    <x v="11"/>
    <x v="2"/>
  </r>
  <r>
    <s v="I26_010038"/>
    <x v="272"/>
    <s v="Clôturé"/>
    <x v="1"/>
    <x v="1"/>
    <x v="2"/>
    <x v="10"/>
  </r>
  <r>
    <s v="I26_010133"/>
    <x v="273"/>
    <s v="Clôturé"/>
    <x v="1"/>
    <x v="1"/>
    <x v="1"/>
    <x v="6"/>
  </r>
  <r>
    <s v="I26_010134"/>
    <x v="274"/>
    <s v="Clôturé"/>
    <x v="1"/>
    <x v="0"/>
    <x v="0"/>
    <x v="0"/>
  </r>
  <r>
    <s v="I26_010139"/>
    <x v="275"/>
    <s v="Clôturé"/>
    <x v="1"/>
    <x v="1"/>
    <x v="3"/>
    <x v="2"/>
  </r>
  <r>
    <s v="I26_010153"/>
    <x v="276"/>
    <s v="Clôturé"/>
    <x v="1"/>
    <x v="1"/>
    <x v="5"/>
    <x v="2"/>
  </r>
  <r>
    <s v="I26_010175"/>
    <x v="277"/>
    <s v="Clôturé"/>
    <x v="2"/>
    <x v="0"/>
    <x v="0"/>
    <x v="0"/>
  </r>
  <r>
    <s v="I26_010198"/>
    <x v="278"/>
    <s v="Clôturé"/>
    <x v="1"/>
    <x v="0"/>
    <x v="0"/>
    <x v="0"/>
  </r>
  <r>
    <s v="I26_010231"/>
    <x v="279"/>
    <s v="Clôturé"/>
    <x v="1"/>
    <x v="0"/>
    <x v="0"/>
    <x v="0"/>
  </r>
  <r>
    <s v="I26_010291"/>
    <x v="280"/>
    <s v="Corrigé"/>
    <x v="1"/>
    <x v="1"/>
    <x v="2"/>
    <x v="11"/>
  </r>
  <r>
    <s v="I26_010297"/>
    <x v="281"/>
    <s v="Clôturé"/>
    <x v="1"/>
    <x v="1"/>
    <x v="2"/>
    <x v="11"/>
  </r>
  <r>
    <s v="I26_010314"/>
    <x v="282"/>
    <s v="Clôturé"/>
    <x v="1"/>
    <x v="1"/>
    <x v="1"/>
    <x v="10"/>
  </r>
  <r>
    <s v="I26_010348"/>
    <x v="283"/>
    <s v="En attente"/>
    <x v="1"/>
    <x v="1"/>
    <x v="2"/>
    <x v="5"/>
  </r>
  <r>
    <s v="I26_010354"/>
    <x v="284"/>
    <s v="Corrigé"/>
    <x v="1"/>
    <x v="1"/>
    <x v="2"/>
    <x v="5"/>
  </r>
  <r>
    <s v="I26_010391"/>
    <x v="285"/>
    <s v="Clôturé"/>
    <x v="1"/>
    <x v="0"/>
    <x v="0"/>
    <x v="0"/>
  </r>
  <r>
    <s v="I26_010409"/>
    <x v="286"/>
    <s v="Clôturé"/>
    <x v="1"/>
    <x v="0"/>
    <x v="0"/>
    <x v="0"/>
  </r>
  <r>
    <s v="I26_010460"/>
    <x v="287"/>
    <s v="Clôturé"/>
    <x v="1"/>
    <x v="0"/>
    <x v="0"/>
    <x v="0"/>
  </r>
  <r>
    <s v="I26_010462"/>
    <x v="288"/>
    <s v="Résolu"/>
    <x v="1"/>
    <x v="1"/>
    <x v="1"/>
    <x v="1"/>
  </r>
  <r>
    <s v="I26_010487"/>
    <x v="289"/>
    <s v="Clôturé"/>
    <x v="1"/>
    <x v="0"/>
    <x v="0"/>
    <x v="0"/>
  </r>
  <r>
    <s v="I26_010585"/>
    <x v="290"/>
    <s v="Clôturé"/>
    <x v="1"/>
    <x v="1"/>
    <x v="5"/>
    <x v="2"/>
  </r>
  <r>
    <s v="I26_010591"/>
    <x v="291"/>
    <s v="Clôturé"/>
    <x v="1"/>
    <x v="1"/>
    <x v="14"/>
    <x v="2"/>
  </r>
  <r>
    <s v="I26_010594"/>
    <x v="292"/>
    <s v="Clôturé"/>
    <x v="1"/>
    <x v="1"/>
    <x v="9"/>
    <x v="7"/>
  </r>
  <r>
    <s v="I26_010685"/>
    <x v="293"/>
    <s v="Clôturé"/>
    <x v="1"/>
    <x v="1"/>
    <x v="3"/>
    <x v="6"/>
  </r>
  <r>
    <s v="I26_010691"/>
    <x v="294"/>
    <s v="En cours"/>
    <x v="1"/>
    <x v="1"/>
    <x v="3"/>
    <x v="6"/>
  </r>
  <r>
    <s v="I26_010823"/>
    <x v="295"/>
    <s v="Clôturé"/>
    <x v="1"/>
    <x v="0"/>
    <x v="0"/>
    <x v="0"/>
  </r>
  <r>
    <s v="I26_010837"/>
    <x v="296"/>
    <s v="Clôturé"/>
    <x v="1"/>
    <x v="1"/>
    <x v="2"/>
    <x v="2"/>
  </r>
  <r>
    <s v="I26_010843"/>
    <x v="297"/>
    <s v="Clôturé"/>
    <x v="1"/>
    <x v="1"/>
    <x v="1"/>
    <x v="7"/>
  </r>
  <r>
    <s v="I26_010864"/>
    <x v="298"/>
    <s v="Clôturé"/>
    <x v="1"/>
    <x v="0"/>
    <x v="0"/>
    <x v="0"/>
  </r>
  <r>
    <s v="I26_010919"/>
    <x v="299"/>
    <s v="Clôturé"/>
    <x v="1"/>
    <x v="0"/>
    <x v="0"/>
    <x v="0"/>
  </r>
  <r>
    <s v="I26_010951"/>
    <x v="300"/>
    <s v="Clôturé"/>
    <x v="1"/>
    <x v="0"/>
    <x v="0"/>
    <x v="0"/>
  </r>
  <r>
    <s v="I26_010972"/>
    <x v="301"/>
    <s v="Résolu"/>
    <x v="1"/>
    <x v="1"/>
    <x v="1"/>
    <x v="1"/>
  </r>
  <r>
    <s v="I26_011029"/>
    <x v="302"/>
    <s v="Clôturé"/>
    <x v="1"/>
    <x v="1"/>
    <x v="6"/>
    <x v="2"/>
  </r>
  <r>
    <s v="I26_011037"/>
    <x v="303"/>
    <s v="Clôturé"/>
    <x v="1"/>
    <x v="1"/>
    <x v="2"/>
    <x v="6"/>
  </r>
  <r>
    <s v="I26_011038"/>
    <x v="304"/>
    <s v="Clôturé"/>
    <x v="1"/>
    <x v="1"/>
    <x v="1"/>
    <x v="6"/>
  </r>
  <r>
    <s v="I26_011039"/>
    <x v="305"/>
    <s v="Clôturé"/>
    <x v="1"/>
    <x v="1"/>
    <x v="2"/>
    <x v="2"/>
  </r>
  <r>
    <s v="I26_011058"/>
    <x v="306"/>
    <s v="Clôturé"/>
    <x v="0"/>
    <x v="0"/>
    <x v="0"/>
    <x v="0"/>
  </r>
  <r>
    <s v="I26_011214"/>
    <x v="307"/>
    <s v="Clôturé"/>
    <x v="1"/>
    <x v="0"/>
    <x v="0"/>
    <x v="0"/>
  </r>
  <r>
    <s v="I26_011283"/>
    <x v="308"/>
    <s v="Clôturé"/>
    <x v="1"/>
    <x v="0"/>
    <x v="0"/>
    <x v="0"/>
  </r>
  <r>
    <s v="I26_011318"/>
    <x v="309"/>
    <s v="Clôturé"/>
    <x v="1"/>
    <x v="1"/>
    <x v="2"/>
    <x v="10"/>
  </r>
  <r>
    <s v="I26_011395"/>
    <x v="310"/>
    <s v="Clôturé"/>
    <x v="1"/>
    <x v="0"/>
    <x v="0"/>
    <x v="0"/>
  </r>
  <r>
    <s v="I26_011429"/>
    <x v="311"/>
    <s v="Clôturé"/>
    <x v="1"/>
    <x v="0"/>
    <x v="0"/>
    <x v="0"/>
  </r>
  <r>
    <s v="I26_011465"/>
    <x v="312"/>
    <s v="Clôturé"/>
    <x v="1"/>
    <x v="1"/>
    <x v="2"/>
    <x v="11"/>
  </r>
  <r>
    <s v="I26_011481"/>
    <x v="313"/>
    <s v="Clôturé"/>
    <x v="1"/>
    <x v="0"/>
    <x v="0"/>
    <x v="0"/>
  </r>
  <r>
    <s v="I26_011562"/>
    <x v="314"/>
    <s v="Clôturé"/>
    <x v="1"/>
    <x v="0"/>
    <x v="0"/>
    <x v="0"/>
  </r>
  <r>
    <s v="I26_011591"/>
    <x v="315"/>
    <s v="Clôturé"/>
    <x v="1"/>
    <x v="0"/>
    <x v="0"/>
    <x v="0"/>
  </r>
  <r>
    <s v="I26_011611"/>
    <x v="316"/>
    <s v="Corrigé"/>
    <x v="1"/>
    <x v="1"/>
    <x v="16"/>
    <x v="2"/>
  </r>
  <r>
    <s v="I26_011625"/>
    <x v="317"/>
    <s v="Clôturé"/>
    <x v="1"/>
    <x v="1"/>
    <x v="2"/>
    <x v="2"/>
  </r>
  <r>
    <s v="I26_011630"/>
    <x v="318"/>
    <s v="Clôturé"/>
    <x v="1"/>
    <x v="1"/>
    <x v="5"/>
    <x v="4"/>
  </r>
  <r>
    <s v="I26_011639"/>
    <x v="319"/>
    <s v="Clôturé"/>
    <x v="0"/>
    <x v="0"/>
    <x v="0"/>
    <x v="0"/>
  </r>
  <r>
    <s v="I26_011695"/>
    <x v="320"/>
    <s v="Clôturé"/>
    <x v="1"/>
    <x v="0"/>
    <x v="0"/>
    <x v="0"/>
  </r>
  <r>
    <s v="I26_011760"/>
    <x v="321"/>
    <s v="Clôturé"/>
    <x v="1"/>
    <x v="0"/>
    <x v="0"/>
    <x v="0"/>
  </r>
  <r>
    <s v="I26_011798"/>
    <x v="322"/>
    <s v="Clôturé"/>
    <x v="1"/>
    <x v="1"/>
    <x v="18"/>
    <x v="2"/>
  </r>
  <r>
    <s v="I26_011849"/>
    <x v="323"/>
    <s v="Clôturé"/>
    <x v="1"/>
    <x v="0"/>
    <x v="0"/>
    <x v="0"/>
  </r>
  <r>
    <s v="I26_011901"/>
    <x v="324"/>
    <s v="En attente de validation de l'analyse"/>
    <x v="1"/>
    <x v="1"/>
    <x v="5"/>
    <x v="5"/>
  </r>
  <r>
    <s v="I26_011939"/>
    <x v="325"/>
    <s v="En attente de validation de la solution"/>
    <x v="1"/>
    <x v="1"/>
    <x v="6"/>
    <x v="5"/>
  </r>
  <r>
    <s v="I26_011968"/>
    <x v="326"/>
    <s v="Clôturé"/>
    <x v="1"/>
    <x v="1"/>
    <x v="2"/>
    <x v="4"/>
  </r>
  <r>
    <s v="I26_012011"/>
    <x v="327"/>
    <s v="Clôturé"/>
    <x v="1"/>
    <x v="0"/>
    <x v="0"/>
    <x v="0"/>
  </r>
  <r>
    <s v="I26_012015"/>
    <x v="328"/>
    <s v="En attente"/>
    <x v="1"/>
    <x v="1"/>
    <x v="12"/>
    <x v="2"/>
  </r>
  <r>
    <s v="I26_012075"/>
    <x v="329"/>
    <s v="Clôturé"/>
    <x v="1"/>
    <x v="1"/>
    <x v="1"/>
    <x v="1"/>
  </r>
  <r>
    <s v="I26_012184"/>
    <x v="330"/>
    <s v="Clôturé"/>
    <x v="1"/>
    <x v="0"/>
    <x v="0"/>
    <x v="0"/>
  </r>
  <r>
    <s v="I26_012197"/>
    <x v="331"/>
    <s v="Clôturé"/>
    <x v="1"/>
    <x v="1"/>
    <x v="15"/>
    <x v="2"/>
  </r>
  <r>
    <s v="I26_012214"/>
    <x v="332"/>
    <s v="Clôturé"/>
    <x v="1"/>
    <x v="0"/>
    <x v="0"/>
    <x v="0"/>
  </r>
  <r>
    <s v="I26_012240"/>
    <x v="333"/>
    <s v="En attente"/>
    <x v="1"/>
    <x v="1"/>
    <x v="1"/>
    <x v="5"/>
  </r>
  <r>
    <s v="I26_012281"/>
    <x v="334"/>
    <s v="En attente"/>
    <x v="1"/>
    <x v="1"/>
    <x v="1"/>
    <x v="1"/>
  </r>
  <r>
    <s v="I26_012287"/>
    <x v="335"/>
    <s v="Clôturé"/>
    <x v="1"/>
    <x v="1"/>
    <x v="6"/>
    <x v="4"/>
  </r>
  <r>
    <s v="I26_012338"/>
    <x v="336"/>
    <s v="Clôturé"/>
    <x v="1"/>
    <x v="0"/>
    <x v="0"/>
    <x v="0"/>
  </r>
  <r>
    <s v="I26_012347"/>
    <x v="337"/>
    <s v="En cours"/>
    <x v="1"/>
    <x v="1"/>
    <x v="1"/>
    <x v="1"/>
  </r>
  <r>
    <s v="I26_012397"/>
    <x v="338"/>
    <s v="Clôturé"/>
    <x v="1"/>
    <x v="1"/>
    <x v="18"/>
    <x v="2"/>
  </r>
  <r>
    <s v="I26_012462"/>
    <x v="339"/>
    <s v="En attente"/>
    <x v="1"/>
    <x v="1"/>
    <x v="9"/>
    <x v="5"/>
  </r>
  <r>
    <s v="I26_012477"/>
    <x v="340"/>
    <s v="Clôturé"/>
    <x v="0"/>
    <x v="0"/>
    <x v="0"/>
    <x v="0"/>
  </r>
  <r>
    <s v="I26_012506"/>
    <x v="341"/>
    <s v="Clôturé"/>
    <x v="1"/>
    <x v="0"/>
    <x v="0"/>
    <x v="0"/>
  </r>
  <r>
    <s v="I26_012552"/>
    <x v="342"/>
    <s v="Résolu"/>
    <x v="1"/>
    <x v="1"/>
    <x v="1"/>
    <x v="1"/>
  </r>
  <r>
    <s v="I26_012560"/>
    <x v="343"/>
    <s v="Clôturé"/>
    <x v="1"/>
    <x v="1"/>
    <x v="18"/>
    <x v="2"/>
  </r>
  <r>
    <s v="I26_012592"/>
    <x v="344"/>
    <s v="Clôturé"/>
    <x v="1"/>
    <x v="1"/>
    <x v="1"/>
    <x v="2"/>
  </r>
  <r>
    <s v="I26_012593"/>
    <x v="345"/>
    <s v="Clôturé"/>
    <x v="1"/>
    <x v="1"/>
    <x v="18"/>
    <x v="2"/>
  </r>
  <r>
    <s v="I26_012606"/>
    <x v="346"/>
    <s v="Résolu"/>
    <x v="1"/>
    <x v="1"/>
    <x v="1"/>
    <x v="1"/>
  </r>
  <r>
    <s v="I26_012608"/>
    <x v="347"/>
    <s v="En cours"/>
    <x v="1"/>
    <x v="1"/>
    <x v="14"/>
    <x v="6"/>
  </r>
  <r>
    <s v="I26_012744"/>
    <x v="348"/>
    <s v="En attente"/>
    <x v="1"/>
    <x v="1"/>
    <x v="18"/>
    <x v="2"/>
  </r>
  <r>
    <s v="I26_012762"/>
    <x v="349"/>
    <s v="Clôturé"/>
    <x v="1"/>
    <x v="1"/>
    <x v="8"/>
    <x v="4"/>
  </r>
  <r>
    <s v="I26_012770"/>
    <x v="350"/>
    <s v="Clôturé"/>
    <x v="1"/>
    <x v="1"/>
    <x v="5"/>
    <x v="4"/>
  </r>
  <r>
    <s v="I26_012781"/>
    <x v="351"/>
    <s v="Clôturé"/>
    <x v="1"/>
    <x v="0"/>
    <x v="0"/>
    <x v="0"/>
  </r>
  <r>
    <s v="I26_012799"/>
    <x v="352"/>
    <s v="En cours"/>
    <x v="1"/>
    <x v="1"/>
    <x v="5"/>
    <x v="4"/>
  </r>
  <r>
    <s v="I26_012841"/>
    <x v="353"/>
    <s v="Clôturé"/>
    <x v="1"/>
    <x v="1"/>
    <x v="5"/>
    <x v="4"/>
  </r>
  <r>
    <s v="I26_012844"/>
    <x v="354"/>
    <s v="Clôturé"/>
    <x v="1"/>
    <x v="0"/>
    <x v="0"/>
    <x v="0"/>
  </r>
  <r>
    <s v="I26_012853"/>
    <x v="355"/>
    <s v="Clôturé"/>
    <x v="1"/>
    <x v="0"/>
    <x v="0"/>
    <x v="0"/>
  </r>
  <r>
    <s v="I26_012858"/>
    <x v="356"/>
    <s v="Clôturé"/>
    <x v="1"/>
    <x v="1"/>
    <x v="5"/>
    <x v="2"/>
  </r>
  <r>
    <s v="I26_012862"/>
    <x v="357"/>
    <s v="En cours"/>
    <x v="1"/>
    <x v="1"/>
    <x v="3"/>
    <x v="2"/>
  </r>
  <r>
    <s v="I26_012866"/>
    <x v="358"/>
    <s v="Clôturé"/>
    <x v="1"/>
    <x v="1"/>
    <x v="5"/>
    <x v="2"/>
  </r>
  <r>
    <s v="I26_012882"/>
    <x v="359"/>
    <s v="Clôturé"/>
    <x v="0"/>
    <x v="0"/>
    <x v="0"/>
    <x v="0"/>
  </r>
  <r>
    <s v="I26_012934"/>
    <x v="360"/>
    <s v="Clôturé"/>
    <x v="1"/>
    <x v="1"/>
    <x v="5"/>
    <x v="4"/>
  </r>
  <r>
    <s v="I26_013017"/>
    <x v="361"/>
    <s v="En cours"/>
    <x v="1"/>
    <x v="1"/>
    <x v="2"/>
    <x v="7"/>
  </r>
  <r>
    <s v="I26_013068"/>
    <x v="362"/>
    <s v="Clôturé"/>
    <x v="1"/>
    <x v="1"/>
    <x v="2"/>
    <x v="2"/>
  </r>
  <r>
    <s v="I26_013159"/>
    <x v="363"/>
    <s v="En attente"/>
    <x v="1"/>
    <x v="1"/>
    <x v="2"/>
    <x v="5"/>
  </r>
  <r>
    <s v="I26_013178"/>
    <x v="364"/>
    <s v="Clôturé"/>
    <x v="1"/>
    <x v="0"/>
    <x v="0"/>
    <x v="0"/>
  </r>
  <r>
    <s v="I26_013297"/>
    <x v="365"/>
    <s v="En attente"/>
    <x v="1"/>
    <x v="1"/>
    <x v="2"/>
    <x v="10"/>
  </r>
  <r>
    <s v="I26_013333"/>
    <x v="366"/>
    <s v="En attente"/>
    <x v="1"/>
    <x v="1"/>
    <x v="12"/>
    <x v="2"/>
  </r>
  <r>
    <s v="I26_013421"/>
    <x v="367"/>
    <s v="En attente"/>
    <x v="1"/>
    <x v="1"/>
    <x v="9"/>
    <x v="5"/>
  </r>
  <r>
    <s v="I26_013435"/>
    <x v="368"/>
    <s v="Corrigé"/>
    <x v="1"/>
    <x v="1"/>
    <x v="18"/>
    <x v="2"/>
  </r>
  <r>
    <s v="I26_013458"/>
    <x v="369"/>
    <s v="Clôturé"/>
    <x v="1"/>
    <x v="1"/>
    <x v="5"/>
    <x v="4"/>
  </r>
  <r>
    <s v="I26_013494"/>
    <x v="370"/>
    <s v="Clôturé"/>
    <x v="1"/>
    <x v="1"/>
    <x v="1"/>
    <x v="2"/>
  </r>
  <r>
    <s v="I26_013575"/>
    <x v="371"/>
    <s v="Clôturé"/>
    <x v="1"/>
    <x v="0"/>
    <x v="0"/>
    <x v="0"/>
  </r>
  <r>
    <s v="I26_013605"/>
    <x v="372"/>
    <s v="Clôturé"/>
    <x v="1"/>
    <x v="1"/>
    <x v="3"/>
    <x v="2"/>
  </r>
  <r>
    <s v="I26_013644"/>
    <x v="373"/>
    <s v="Clôturé"/>
    <x v="1"/>
    <x v="1"/>
    <x v="3"/>
    <x v="2"/>
  </r>
  <r>
    <s v="I26_013718"/>
    <x v="374"/>
    <s v="En attente"/>
    <x v="1"/>
    <x v="1"/>
    <x v="18"/>
    <x v="7"/>
  </r>
  <r>
    <s v="I26_013722"/>
    <x v="375"/>
    <s v="Clôturé"/>
    <x v="1"/>
    <x v="1"/>
    <x v="6"/>
    <x v="2"/>
  </r>
  <r>
    <s v="I26_013749"/>
    <x v="376"/>
    <s v="En cours"/>
    <x v="1"/>
    <x v="1"/>
    <x v="1"/>
    <x v="1"/>
  </r>
  <r>
    <s v="I26_014101"/>
    <x v="377"/>
    <s v="Clôturé"/>
    <x v="0"/>
    <x v="0"/>
    <x v="0"/>
    <x v="0"/>
  </r>
  <r>
    <s v="I26_014108"/>
    <x v="378"/>
    <s v="Redirigé vers un niveau inférieur"/>
    <x v="0"/>
    <x v="0"/>
    <x v="0"/>
    <x v="0"/>
  </r>
  <r>
    <s v="I26_014158"/>
    <x v="379"/>
    <s v="Clôturé"/>
    <x v="1"/>
    <x v="1"/>
    <x v="18"/>
    <x v="4"/>
  </r>
  <r>
    <s v="I26_014279"/>
    <x v="380"/>
    <s v="En attente"/>
    <x v="1"/>
    <x v="1"/>
    <x v="1"/>
    <x v="10"/>
  </r>
  <r>
    <s v="I26_014293"/>
    <x v="381"/>
    <s v="En attente"/>
    <x v="1"/>
    <x v="1"/>
    <x v="18"/>
    <x v="2"/>
  </r>
  <r>
    <s v="I26_014311"/>
    <x v="382"/>
    <s v="En cours"/>
    <x v="1"/>
    <x v="1"/>
    <x v="2"/>
    <x v="6"/>
  </r>
  <r>
    <s v="I26_014348"/>
    <x v="383"/>
    <s v="Clôturé"/>
    <x v="1"/>
    <x v="1"/>
    <x v="6"/>
    <x v="2"/>
  </r>
  <r>
    <s v="I26_014387"/>
    <x v="384"/>
    <s v="Clôturé"/>
    <x v="1"/>
    <x v="0"/>
    <x v="0"/>
    <x v="0"/>
  </r>
  <r>
    <s v="I26_014430"/>
    <x v="385"/>
    <s v="En attente"/>
    <x v="1"/>
    <x v="1"/>
    <x v="1"/>
    <x v="1"/>
  </r>
  <r>
    <s v="I26_014458"/>
    <x v="386"/>
    <s v="En attente"/>
    <x v="1"/>
    <x v="1"/>
    <x v="17"/>
    <x v="5"/>
  </r>
  <r>
    <s v="I26_014459"/>
    <x v="387"/>
    <s v="En cours"/>
    <x v="1"/>
    <x v="1"/>
    <x v="2"/>
    <x v="6"/>
  </r>
  <r>
    <s v="I26_014683"/>
    <x v="388"/>
    <s v="Clôturé"/>
    <x v="1"/>
    <x v="1"/>
    <x v="9"/>
    <x v="4"/>
  </r>
  <r>
    <s v="I26_014690"/>
    <x v="389"/>
    <s v="Clôturé"/>
    <x v="1"/>
    <x v="1"/>
    <x v="18"/>
    <x v="2"/>
  </r>
  <r>
    <s v="I26_014768"/>
    <x v="390"/>
    <s v="Clôturé"/>
    <x v="1"/>
    <x v="0"/>
    <x v="0"/>
    <x v="0"/>
  </r>
  <r>
    <s v="I26_014775"/>
    <x v="391"/>
    <s v="Corrigé"/>
    <x v="1"/>
    <x v="1"/>
    <x v="9"/>
    <x v="5"/>
  </r>
  <r>
    <s v="I26_014794"/>
    <x v="392"/>
    <s v="Clôturé"/>
    <x v="1"/>
    <x v="0"/>
    <x v="0"/>
    <x v="0"/>
  </r>
  <r>
    <s v="I26_014824"/>
    <x v="393"/>
    <s v="En cours"/>
    <x v="1"/>
    <x v="1"/>
    <x v="18"/>
    <x v="2"/>
  </r>
  <r>
    <s v="I26_014867"/>
    <x v="394"/>
    <s v="En cours"/>
    <x v="1"/>
    <x v="1"/>
    <x v="6"/>
    <x v="2"/>
  </r>
  <r>
    <s v="I26_014896"/>
    <x v="395"/>
    <s v="Clôturé"/>
    <x v="1"/>
    <x v="0"/>
    <x v="0"/>
    <x v="0"/>
  </r>
  <r>
    <s v="I26_014954"/>
    <x v="396"/>
    <s v="Clôturé"/>
    <x v="1"/>
    <x v="0"/>
    <x v="0"/>
    <x v="0"/>
  </r>
  <r>
    <s v="I26_015044"/>
    <x v="397"/>
    <s v="Clôturé"/>
    <x v="1"/>
    <x v="0"/>
    <x v="0"/>
    <x v="0"/>
  </r>
  <r>
    <s v="I26_015047"/>
    <x v="398"/>
    <s v="En attente"/>
    <x v="1"/>
    <x v="1"/>
    <x v="2"/>
    <x v="5"/>
  </r>
  <r>
    <s v="I26_015052"/>
    <x v="399"/>
    <s v="Clôturé"/>
    <x v="1"/>
    <x v="1"/>
    <x v="2"/>
    <x v="2"/>
  </r>
  <r>
    <s v="I26_015064"/>
    <x v="400"/>
    <s v="En cours"/>
    <x v="2"/>
    <x v="0"/>
    <x v="0"/>
    <x v="0"/>
  </r>
  <r>
    <s v="I26_015119"/>
    <x v="401"/>
    <s v="Clôturé"/>
    <x v="1"/>
    <x v="0"/>
    <x v="0"/>
    <x v="0"/>
  </r>
  <r>
    <s v="I26_015161"/>
    <x v="402"/>
    <s v="En cours"/>
    <x v="1"/>
    <x v="1"/>
    <x v="17"/>
    <x v="4"/>
  </r>
  <r>
    <s v="I26_015167"/>
    <x v="403"/>
    <s v="Clôturé"/>
    <x v="1"/>
    <x v="1"/>
    <x v="1"/>
    <x v="2"/>
  </r>
  <r>
    <s v="I26_015213"/>
    <x v="404"/>
    <s v="Incident lié"/>
    <x v="1"/>
    <x v="1"/>
    <x v="1"/>
    <x v="10"/>
  </r>
  <r>
    <s v="I26_015229"/>
    <x v="405"/>
    <s v="Clôturé"/>
    <x v="0"/>
    <x v="0"/>
    <x v="0"/>
    <x v="0"/>
  </r>
  <r>
    <s v="I26_015284"/>
    <x v="406"/>
    <s v="Clôturé"/>
    <x v="1"/>
    <x v="0"/>
    <x v="0"/>
    <x v="0"/>
  </r>
  <r>
    <s v="I26_015346"/>
    <x v="407"/>
    <s v="Clôturé"/>
    <x v="1"/>
    <x v="0"/>
    <x v="0"/>
    <x v="0"/>
  </r>
  <r>
    <s v="I26_015370"/>
    <x v="408"/>
    <s v="Clôturé"/>
    <x v="1"/>
    <x v="0"/>
    <x v="0"/>
    <x v="0"/>
  </r>
  <r>
    <s v="I26_015378"/>
    <x v="409"/>
    <s v="Clôturé"/>
    <x v="1"/>
    <x v="0"/>
    <x v="0"/>
    <x v="0"/>
  </r>
  <r>
    <s v="I26_015382"/>
    <x v="410"/>
    <s v="Clôturé"/>
    <x v="1"/>
    <x v="0"/>
    <x v="0"/>
    <x v="0"/>
  </r>
  <r>
    <s v="I26_015387"/>
    <x v="411"/>
    <s v="Clôturé"/>
    <x v="1"/>
    <x v="1"/>
    <x v="18"/>
    <x v="2"/>
  </r>
  <r>
    <s v="I26_015490"/>
    <x v="412"/>
    <s v="Clôturé"/>
    <x v="1"/>
    <x v="0"/>
    <x v="0"/>
    <x v="0"/>
  </r>
  <r>
    <s v="I26_015506"/>
    <x v="413"/>
    <s v="Clôturé"/>
    <x v="1"/>
    <x v="0"/>
    <x v="0"/>
    <x v="0"/>
  </r>
  <r>
    <s v="I26_015573"/>
    <x v="414"/>
    <s v="En attente"/>
    <x v="1"/>
    <x v="1"/>
    <x v="5"/>
    <x v="5"/>
  </r>
  <r>
    <s v="I26_015574"/>
    <x v="415"/>
    <s v="Clôturé"/>
    <x v="1"/>
    <x v="1"/>
    <x v="2"/>
    <x v="6"/>
  </r>
  <r>
    <s v="I26_015585"/>
    <x v="416"/>
    <s v="Clôturé"/>
    <x v="1"/>
    <x v="1"/>
    <x v="5"/>
    <x v="4"/>
  </r>
  <r>
    <s v="I26_015642"/>
    <x v="417"/>
    <s v="Clôturé"/>
    <x v="0"/>
    <x v="0"/>
    <x v="0"/>
    <x v="0"/>
  </r>
  <r>
    <s v="I26_015784"/>
    <x v="418"/>
    <s v="Clôturé"/>
    <x v="1"/>
    <x v="1"/>
    <x v="2"/>
    <x v="2"/>
  </r>
  <r>
    <s v="I26_015797"/>
    <x v="419"/>
    <s v="Clôturé"/>
    <x v="1"/>
    <x v="1"/>
    <x v="3"/>
    <x v="6"/>
  </r>
  <r>
    <s v="I26_015808"/>
    <x v="420"/>
    <s v="Clôturé"/>
    <x v="1"/>
    <x v="1"/>
    <x v="3"/>
    <x v="6"/>
  </r>
  <r>
    <s v="I26_015895"/>
    <x v="421"/>
    <s v="Clôturé"/>
    <x v="1"/>
    <x v="0"/>
    <x v="0"/>
    <x v="0"/>
  </r>
  <r>
    <s v="I26_015900"/>
    <x v="422"/>
    <s v="Clôturé"/>
    <x v="1"/>
    <x v="0"/>
    <x v="0"/>
    <x v="0"/>
  </r>
  <r>
    <s v="I26_015908"/>
    <x v="423"/>
    <s v="En attente"/>
    <x v="1"/>
    <x v="1"/>
    <x v="6"/>
    <x v="5"/>
  </r>
  <r>
    <s v="I26_015911"/>
    <x v="424"/>
    <s v="Clôturé"/>
    <x v="1"/>
    <x v="1"/>
    <x v="5"/>
    <x v="4"/>
  </r>
  <r>
    <s v="I26_016005"/>
    <x v="425"/>
    <s v="Clôturé"/>
    <x v="0"/>
    <x v="0"/>
    <x v="0"/>
    <x v="0"/>
  </r>
  <r>
    <s v="I26_016022"/>
    <x v="426"/>
    <s v="Clôturé"/>
    <x v="1"/>
    <x v="1"/>
    <x v="9"/>
    <x v="5"/>
  </r>
  <r>
    <s v="I26_016171"/>
    <x v="427"/>
    <s v="Résolu"/>
    <x v="1"/>
    <x v="1"/>
    <x v="9"/>
    <x v="4"/>
  </r>
  <r>
    <s v="I26_016175"/>
    <x v="428"/>
    <s v="Clôturé"/>
    <x v="1"/>
    <x v="1"/>
    <x v="2"/>
    <x v="2"/>
  </r>
  <r>
    <s v="I26_016265"/>
    <x v="429"/>
    <s v="Clôturé"/>
    <x v="1"/>
    <x v="1"/>
    <x v="1"/>
    <x v="2"/>
  </r>
  <r>
    <s v="I26_016271"/>
    <x v="430"/>
    <s v="Clôturé"/>
    <x v="1"/>
    <x v="0"/>
    <x v="0"/>
    <x v="0"/>
  </r>
  <r>
    <s v="I26_016289"/>
    <x v="431"/>
    <s v="Clôturé"/>
    <x v="1"/>
    <x v="0"/>
    <x v="0"/>
    <x v="0"/>
  </r>
  <r>
    <s v="I26_016293"/>
    <x v="432"/>
    <s v="Clôturé"/>
    <x v="1"/>
    <x v="0"/>
    <x v="0"/>
    <x v="0"/>
  </r>
  <r>
    <s v="I26_016309"/>
    <x v="433"/>
    <s v="Clôturé"/>
    <x v="1"/>
    <x v="0"/>
    <x v="0"/>
    <x v="0"/>
  </r>
  <r>
    <s v="I26_016315"/>
    <x v="434"/>
    <s v="Clôturé"/>
    <x v="1"/>
    <x v="1"/>
    <x v="3"/>
    <x v="4"/>
  </r>
  <r>
    <s v="I26_016374"/>
    <x v="435"/>
    <s v="Clôturé"/>
    <x v="0"/>
    <x v="0"/>
    <x v="0"/>
    <x v="0"/>
  </r>
  <r>
    <s v="I26_016415"/>
    <x v="436"/>
    <s v="Clôturé"/>
    <x v="1"/>
    <x v="0"/>
    <x v="0"/>
    <x v="0"/>
  </r>
  <r>
    <s v="I26_016482"/>
    <x v="437"/>
    <s v="En attente"/>
    <x v="1"/>
    <x v="1"/>
    <x v="14"/>
    <x v="5"/>
  </r>
  <r>
    <s v="I26_016492"/>
    <x v="438"/>
    <s v="Clôturé"/>
    <x v="1"/>
    <x v="1"/>
    <x v="4"/>
    <x v="12"/>
  </r>
  <r>
    <s v="I26_016565"/>
    <x v="439"/>
    <s v="Clôturé"/>
    <x v="1"/>
    <x v="0"/>
    <x v="0"/>
    <x v="0"/>
  </r>
  <r>
    <s v="I26_016575"/>
    <x v="440"/>
    <s v="En cours"/>
    <x v="1"/>
    <x v="1"/>
    <x v="2"/>
    <x v="2"/>
  </r>
  <r>
    <s v="I26_016616"/>
    <x v="441"/>
    <s v="Clôturé"/>
    <x v="1"/>
    <x v="0"/>
    <x v="0"/>
    <x v="0"/>
  </r>
  <r>
    <s v="I26_016618"/>
    <x v="442"/>
    <s v="Clôturé"/>
    <x v="1"/>
    <x v="0"/>
    <x v="0"/>
    <x v="0"/>
  </r>
  <r>
    <s v="I26_016698"/>
    <x v="443"/>
    <s v="Clôturé"/>
    <x v="0"/>
    <x v="0"/>
    <x v="0"/>
    <x v="0"/>
  </r>
  <r>
    <s v="I26_016712"/>
    <x v="444"/>
    <s v="Clôturé"/>
    <x v="1"/>
    <x v="0"/>
    <x v="0"/>
    <x v="0"/>
  </r>
  <r>
    <s v="I26_016716"/>
    <x v="445"/>
    <s v="Clôturé"/>
    <x v="1"/>
    <x v="1"/>
    <x v="4"/>
    <x v="3"/>
  </r>
  <r>
    <s v="I26_016743"/>
    <x v="446"/>
    <s v="Clôturé"/>
    <x v="1"/>
    <x v="1"/>
    <x v="4"/>
    <x v="3"/>
  </r>
  <r>
    <s v="I26_016773"/>
    <x v="447"/>
    <s v="Clôturé"/>
    <x v="1"/>
    <x v="1"/>
    <x v="2"/>
    <x v="6"/>
  </r>
  <r>
    <s v="I26_016979"/>
    <x v="448"/>
    <s v="Clôturé"/>
    <x v="1"/>
    <x v="0"/>
    <x v="0"/>
    <x v="0"/>
  </r>
  <r>
    <s v="I26_017052"/>
    <x v="449"/>
    <s v="Clôturé"/>
    <x v="1"/>
    <x v="1"/>
    <x v="5"/>
    <x v="4"/>
  </r>
  <r>
    <s v="I26_017410"/>
    <x v="450"/>
    <s v="Clôturé"/>
    <x v="1"/>
    <x v="1"/>
    <x v="6"/>
    <x v="7"/>
  </r>
  <r>
    <s v="I26_017465"/>
    <x v="451"/>
    <s v="Clôturé"/>
    <x v="1"/>
    <x v="1"/>
    <x v="1"/>
    <x v="2"/>
  </r>
  <r>
    <s v="I26_017573"/>
    <x v="452"/>
    <s v="Clôturé"/>
    <x v="1"/>
    <x v="0"/>
    <x v="0"/>
    <x v="0"/>
  </r>
  <r>
    <s v="I26_017708"/>
    <x v="453"/>
    <s v="Clôturé"/>
    <x v="1"/>
    <x v="0"/>
    <x v="0"/>
    <x v="0"/>
  </r>
  <r>
    <s v="I26_017730"/>
    <x v="454"/>
    <s v="Clôturé"/>
    <x v="1"/>
    <x v="1"/>
    <x v="18"/>
    <x v="2"/>
  </r>
  <r>
    <s v="I26_017741"/>
    <x v="455"/>
    <s v="Clôturé"/>
    <x v="1"/>
    <x v="0"/>
    <x v="0"/>
    <x v="0"/>
  </r>
  <r>
    <s v="I26_017841"/>
    <x v="456"/>
    <s v="Clôturé"/>
    <x v="1"/>
    <x v="0"/>
    <x v="0"/>
    <x v="0"/>
  </r>
  <r>
    <s v="I26_017850"/>
    <x v="457"/>
    <s v="En attente de validation de l'analyse"/>
    <x v="1"/>
    <x v="1"/>
    <x v="15"/>
    <x v="2"/>
  </r>
  <r>
    <s v="I26_017853"/>
    <x v="458"/>
    <s v="Clôturé"/>
    <x v="2"/>
    <x v="0"/>
    <x v="0"/>
    <x v="0"/>
  </r>
  <r>
    <s v="I26_017913"/>
    <x v="459"/>
    <s v="En attente"/>
    <x v="1"/>
    <x v="1"/>
    <x v="18"/>
    <x v="5"/>
  </r>
  <r>
    <s v="I26_017971"/>
    <x v="460"/>
    <s v="En attente"/>
    <x v="1"/>
    <x v="1"/>
    <x v="2"/>
    <x v="5"/>
  </r>
  <r>
    <s v="I26_017980"/>
    <x v="461"/>
    <s v="Clôturé"/>
    <x v="1"/>
    <x v="1"/>
    <x v="2"/>
    <x v="2"/>
  </r>
  <r>
    <s v="I26_017986"/>
    <x v="462"/>
    <s v="Clôturé"/>
    <x v="1"/>
    <x v="1"/>
    <x v="3"/>
    <x v="6"/>
  </r>
  <r>
    <s v="I26_018003"/>
    <x v="463"/>
    <s v="Clôturé"/>
    <x v="1"/>
    <x v="1"/>
    <x v="13"/>
    <x v="9"/>
  </r>
  <r>
    <s v="I26_018042"/>
    <x v="464"/>
    <s v="Clôturé"/>
    <x v="1"/>
    <x v="1"/>
    <x v="13"/>
    <x v="9"/>
  </r>
  <r>
    <s v="I26_018074"/>
    <x v="465"/>
    <s v="Clôturé"/>
    <x v="1"/>
    <x v="1"/>
    <x v="2"/>
    <x v="6"/>
  </r>
  <r>
    <s v="I26_018081"/>
    <x v="466"/>
    <s v="Clôturé"/>
    <x v="1"/>
    <x v="1"/>
    <x v="2"/>
    <x v="5"/>
  </r>
  <r>
    <s v="I26_018090"/>
    <x v="467"/>
    <s v="Corrigé"/>
    <x v="1"/>
    <x v="1"/>
    <x v="9"/>
    <x v="5"/>
  </r>
  <r>
    <s v="I26_018126"/>
    <x v="468"/>
    <s v="Clôturé"/>
    <x v="0"/>
    <x v="0"/>
    <x v="0"/>
    <x v="0"/>
  </r>
  <r>
    <s v="I26_018193"/>
    <x v="469"/>
    <s v="Clôturé"/>
    <x v="1"/>
    <x v="1"/>
    <x v="1"/>
    <x v="1"/>
  </r>
  <r>
    <s v="I26_018385"/>
    <x v="470"/>
    <s v="Clôturé"/>
    <x v="1"/>
    <x v="1"/>
    <x v="1"/>
    <x v="2"/>
  </r>
  <r>
    <s v="I26_018387"/>
    <x v="471"/>
    <s v="Clôturé"/>
    <x v="1"/>
    <x v="1"/>
    <x v="9"/>
    <x v="5"/>
  </r>
  <r>
    <s v="I26_018501"/>
    <x v="472"/>
    <s v="Clôturé"/>
    <x v="1"/>
    <x v="1"/>
    <x v="1"/>
    <x v="6"/>
  </r>
  <r>
    <s v="I26_018565"/>
    <x v="473"/>
    <s v="En cours"/>
    <x v="1"/>
    <x v="1"/>
    <x v="2"/>
    <x v="5"/>
  </r>
  <r>
    <s v="I26_018577"/>
    <x v="474"/>
    <s v="Clôturé"/>
    <x v="1"/>
    <x v="0"/>
    <x v="0"/>
    <x v="0"/>
  </r>
  <r>
    <s v="I26_018586"/>
    <x v="475"/>
    <s v="Clôturé"/>
    <x v="1"/>
    <x v="1"/>
    <x v="18"/>
    <x v="2"/>
  </r>
  <r>
    <s v="I26_018727"/>
    <x v="476"/>
    <s v="Clôturé"/>
    <x v="1"/>
    <x v="1"/>
    <x v="17"/>
    <x v="2"/>
  </r>
  <r>
    <s v="I26_018790"/>
    <x v="477"/>
    <s v="Clôturé"/>
    <x v="1"/>
    <x v="1"/>
    <x v="4"/>
    <x v="5"/>
  </r>
  <r>
    <s v="I26_018794"/>
    <x v="478"/>
    <s v="Clôturé"/>
    <x v="1"/>
    <x v="0"/>
    <x v="0"/>
    <x v="0"/>
  </r>
  <r>
    <s v="I26_018810"/>
    <x v="479"/>
    <s v="Clôturé"/>
    <x v="1"/>
    <x v="0"/>
    <x v="0"/>
    <x v="0"/>
  </r>
  <r>
    <s v="I26_018936"/>
    <x v="480"/>
    <s v="Clôturé"/>
    <x v="1"/>
    <x v="1"/>
    <x v="2"/>
    <x v="4"/>
  </r>
  <r>
    <s v="I26_018954"/>
    <x v="481"/>
    <s v="Clôturé"/>
    <x v="1"/>
    <x v="0"/>
    <x v="0"/>
    <x v="0"/>
  </r>
  <r>
    <s v="I26_019017"/>
    <x v="482"/>
    <s v="En cours"/>
    <x v="1"/>
    <x v="1"/>
    <x v="6"/>
    <x v="2"/>
  </r>
  <r>
    <s v="I26_019020"/>
    <x v="483"/>
    <s v="Clôturé"/>
    <x v="1"/>
    <x v="0"/>
    <x v="0"/>
    <x v="0"/>
  </r>
  <r>
    <s v="I26_019042"/>
    <x v="484"/>
    <s v="Clôturé"/>
    <x v="2"/>
    <x v="0"/>
    <x v="0"/>
    <x v="0"/>
  </r>
  <r>
    <s v="I26_019212"/>
    <x v="485"/>
    <s v="Clôturé"/>
    <x v="1"/>
    <x v="0"/>
    <x v="0"/>
    <x v="0"/>
  </r>
  <r>
    <s v="I26_019213"/>
    <x v="486"/>
    <s v="Clôturé"/>
    <x v="1"/>
    <x v="0"/>
    <x v="0"/>
    <x v="0"/>
  </r>
  <r>
    <s v="I26_019331"/>
    <x v="487"/>
    <s v="Clôturé"/>
    <x v="1"/>
    <x v="0"/>
    <x v="0"/>
    <x v="0"/>
  </r>
  <r>
    <s v="I26_019396"/>
    <x v="488"/>
    <s v="En attente de validation de la solution"/>
    <x v="1"/>
    <x v="1"/>
    <x v="4"/>
    <x v="5"/>
  </r>
  <r>
    <s v="I26_019408"/>
    <x v="489"/>
    <s v="En attente de validation de l'analyse"/>
    <x v="1"/>
    <x v="1"/>
    <x v="5"/>
    <x v="4"/>
  </r>
  <r>
    <s v="I26_019496"/>
    <x v="490"/>
    <s v="En cours"/>
    <x v="1"/>
    <x v="1"/>
    <x v="2"/>
    <x v="2"/>
  </r>
  <r>
    <s v="I26_019557"/>
    <x v="491"/>
    <s v="Clôturé"/>
    <x v="1"/>
    <x v="1"/>
    <x v="16"/>
    <x v="2"/>
  </r>
  <r>
    <s v="I26_019688"/>
    <x v="492"/>
    <s v="En attente de validation de l'analyse"/>
    <x v="1"/>
    <x v="1"/>
    <x v="4"/>
    <x v="7"/>
  </r>
  <r>
    <s v="I26_019706"/>
    <x v="493"/>
    <s v="Clôturé"/>
    <x v="1"/>
    <x v="0"/>
    <x v="0"/>
    <x v="0"/>
  </r>
  <r>
    <s v="I26_019801"/>
    <x v="494"/>
    <s v="Clôturé"/>
    <x v="1"/>
    <x v="1"/>
    <x v="3"/>
    <x v="2"/>
  </r>
  <r>
    <s v="I26_019812"/>
    <x v="495"/>
    <s v="Clôturé"/>
    <x v="1"/>
    <x v="0"/>
    <x v="0"/>
    <x v="0"/>
  </r>
  <r>
    <s v="I26_019897"/>
    <x v="496"/>
    <s v="Clôturé"/>
    <x v="1"/>
    <x v="0"/>
    <x v="0"/>
    <x v="0"/>
  </r>
  <r>
    <s v="I26_019984"/>
    <x v="497"/>
    <s v="En cours"/>
    <x v="1"/>
    <x v="1"/>
    <x v="5"/>
    <x v="2"/>
  </r>
  <r>
    <s v="I26_020008"/>
    <x v="498"/>
    <s v="Clôturé"/>
    <x v="1"/>
    <x v="1"/>
    <x v="5"/>
    <x v="4"/>
  </r>
  <r>
    <s v="I26_020058"/>
    <x v="499"/>
    <s v="Clôturé"/>
    <x v="1"/>
    <x v="1"/>
    <x v="2"/>
    <x v="6"/>
  </r>
  <r>
    <s v="I26_020089"/>
    <x v="500"/>
    <s v="Clôturé"/>
    <x v="4"/>
    <x v="0"/>
    <x v="0"/>
    <x v="0"/>
  </r>
  <r>
    <s v="I26_020176"/>
    <x v="501"/>
    <s v="Clôturé"/>
    <x v="1"/>
    <x v="1"/>
    <x v="14"/>
    <x v="6"/>
  </r>
  <r>
    <s v="I26_020178"/>
    <x v="502"/>
    <s v="Clôturé"/>
    <x v="1"/>
    <x v="1"/>
    <x v="3"/>
    <x v="2"/>
  </r>
  <r>
    <s v="I26_020181"/>
    <x v="503"/>
    <s v="Clôturé"/>
    <x v="1"/>
    <x v="1"/>
    <x v="14"/>
    <x v="6"/>
  </r>
  <r>
    <s v="I26_020199"/>
    <x v="504"/>
    <s v="Clôturé"/>
    <x v="1"/>
    <x v="0"/>
    <x v="0"/>
    <x v="0"/>
  </r>
  <r>
    <s v="I26_020239"/>
    <x v="505"/>
    <s v="Clôturé"/>
    <x v="1"/>
    <x v="1"/>
    <x v="18"/>
    <x v="2"/>
  </r>
  <r>
    <s v="I26_020265"/>
    <x v="506"/>
    <s v="Clôturé"/>
    <x v="1"/>
    <x v="0"/>
    <x v="0"/>
    <x v="0"/>
  </r>
  <r>
    <s v="I26_020421"/>
    <x v="507"/>
    <s v="Clôturé"/>
    <x v="1"/>
    <x v="0"/>
    <x v="0"/>
    <x v="0"/>
  </r>
  <r>
    <s v="I26_020447"/>
    <x v="508"/>
    <s v="Clôturé"/>
    <x v="1"/>
    <x v="1"/>
    <x v="3"/>
    <x v="6"/>
  </r>
  <r>
    <s v="I26_020504"/>
    <x v="509"/>
    <s v="Clôturé"/>
    <x v="1"/>
    <x v="1"/>
    <x v="2"/>
    <x v="2"/>
  </r>
  <r>
    <s v="I26_020516"/>
    <x v="510"/>
    <s v="Clôturé"/>
    <x v="1"/>
    <x v="1"/>
    <x v="2"/>
    <x v="2"/>
  </r>
  <r>
    <s v="I26_020522"/>
    <x v="511"/>
    <s v="Clôturé"/>
    <x v="1"/>
    <x v="1"/>
    <x v="1"/>
    <x v="6"/>
  </r>
  <r>
    <s v="I26_020570"/>
    <x v="512"/>
    <s v="Clôturé"/>
    <x v="2"/>
    <x v="0"/>
    <x v="0"/>
    <x v="0"/>
  </r>
  <r>
    <s v="I26_020704"/>
    <x v="513"/>
    <s v="Clôturé"/>
    <x v="1"/>
    <x v="0"/>
    <x v="0"/>
    <x v="0"/>
  </r>
  <r>
    <s v="I26_020854"/>
    <x v="514"/>
    <s v="Clôturé"/>
    <x v="1"/>
    <x v="1"/>
    <x v="3"/>
    <x v="6"/>
  </r>
  <r>
    <s v="I26_020890"/>
    <x v="515"/>
    <s v="Clôturé"/>
    <x v="1"/>
    <x v="0"/>
    <x v="0"/>
    <x v="0"/>
  </r>
  <r>
    <s v="I26_020913"/>
    <x v="516"/>
    <s v="Clôturé"/>
    <x v="1"/>
    <x v="1"/>
    <x v="9"/>
    <x v="2"/>
  </r>
  <r>
    <s v="I26_020915"/>
    <x v="517"/>
    <s v="Corrigé"/>
    <x v="1"/>
    <x v="1"/>
    <x v="11"/>
    <x v="2"/>
  </r>
  <r>
    <s v="I26_020919"/>
    <x v="518"/>
    <s v="En cours"/>
    <x v="1"/>
    <x v="1"/>
    <x v="11"/>
    <x v="2"/>
  </r>
  <r>
    <s v="I26_020999"/>
    <x v="519"/>
    <s v="Clôturé"/>
    <x v="1"/>
    <x v="1"/>
    <x v="2"/>
    <x v="2"/>
  </r>
  <r>
    <s v="I26_021046"/>
    <x v="520"/>
    <s v="Clôturé"/>
    <x v="1"/>
    <x v="1"/>
    <x v="2"/>
    <x v="2"/>
  </r>
  <r>
    <s v="I26_021100"/>
    <x v="521"/>
    <s v="Clôturé"/>
    <x v="1"/>
    <x v="0"/>
    <x v="0"/>
    <x v="0"/>
  </r>
  <r>
    <s v="I26_021120"/>
    <x v="522"/>
    <s v="Clôturé"/>
    <x v="1"/>
    <x v="0"/>
    <x v="0"/>
    <x v="0"/>
  </r>
  <r>
    <s v="I26_021161"/>
    <x v="523"/>
    <s v="En attente"/>
    <x v="1"/>
    <x v="1"/>
    <x v="6"/>
    <x v="5"/>
  </r>
  <r>
    <s v="I26_021238"/>
    <x v="524"/>
    <s v="Clôturé"/>
    <x v="1"/>
    <x v="1"/>
    <x v="9"/>
    <x v="5"/>
  </r>
  <r>
    <s v="I26_021253"/>
    <x v="525"/>
    <s v="Clôturé"/>
    <x v="1"/>
    <x v="1"/>
    <x v="3"/>
    <x v="2"/>
  </r>
  <r>
    <s v="I26_021261"/>
    <x v="526"/>
    <s v="Clôturé"/>
    <x v="1"/>
    <x v="1"/>
    <x v="2"/>
    <x v="5"/>
  </r>
  <r>
    <s v="I26_021316"/>
    <x v="527"/>
    <s v="Corrigé"/>
    <x v="1"/>
    <x v="1"/>
    <x v="14"/>
    <x v="5"/>
  </r>
  <r>
    <s v="I26_021325"/>
    <x v="528"/>
    <s v="Clôturé"/>
    <x v="1"/>
    <x v="0"/>
    <x v="0"/>
    <x v="0"/>
  </r>
  <r>
    <s v="I26_021342"/>
    <x v="529"/>
    <s v="Clôturé"/>
    <x v="1"/>
    <x v="0"/>
    <x v="0"/>
    <x v="0"/>
  </r>
  <r>
    <s v="I26_021487"/>
    <x v="530"/>
    <s v="Clôturé"/>
    <x v="1"/>
    <x v="1"/>
    <x v="6"/>
    <x v="7"/>
  </r>
  <r>
    <s v="I26_021592"/>
    <x v="531"/>
    <s v="Clôturé"/>
    <x v="1"/>
    <x v="1"/>
    <x v="1"/>
    <x v="6"/>
  </r>
  <r>
    <s v="I26_021626"/>
    <x v="532"/>
    <s v="Clôturé"/>
    <x v="1"/>
    <x v="1"/>
    <x v="18"/>
    <x v="1"/>
  </r>
  <r>
    <s v="I26_021646"/>
    <x v="533"/>
    <s v="Clôturé"/>
    <x v="1"/>
    <x v="1"/>
    <x v="2"/>
    <x v="2"/>
  </r>
  <r>
    <s v="I26_021711"/>
    <x v="534"/>
    <s v="Clôturé"/>
    <x v="1"/>
    <x v="1"/>
    <x v="2"/>
    <x v="4"/>
  </r>
  <r>
    <s v="I26_021750"/>
    <x v="535"/>
    <s v="Clôturé"/>
    <x v="1"/>
    <x v="1"/>
    <x v="12"/>
    <x v="2"/>
  </r>
  <r>
    <s v="I26_021984"/>
    <x v="536"/>
    <s v="Clôturé"/>
    <x v="1"/>
    <x v="0"/>
    <x v="0"/>
    <x v="0"/>
  </r>
  <r>
    <s v="I26_022071"/>
    <x v="537"/>
    <s v="En cours"/>
    <x v="1"/>
    <x v="1"/>
    <x v="2"/>
    <x v="5"/>
  </r>
  <r>
    <s v="I26_022153"/>
    <x v="538"/>
    <s v="Clôturé"/>
    <x v="1"/>
    <x v="0"/>
    <x v="0"/>
    <x v="0"/>
  </r>
  <r>
    <s v="I26_022180"/>
    <x v="539"/>
    <s v="Clôturé"/>
    <x v="1"/>
    <x v="0"/>
    <x v="0"/>
    <x v="0"/>
  </r>
  <r>
    <s v="I26_022190"/>
    <x v="540"/>
    <s v="En attente"/>
    <x v="1"/>
    <x v="1"/>
    <x v="19"/>
    <x v="5"/>
  </r>
  <r>
    <s v="I26_022289"/>
    <x v="541"/>
    <s v="Clôturé"/>
    <x v="1"/>
    <x v="0"/>
    <x v="0"/>
    <x v="0"/>
  </r>
  <r>
    <s v="I26_022396"/>
    <x v="542"/>
    <s v="Clôturé"/>
    <x v="1"/>
    <x v="0"/>
    <x v="0"/>
    <x v="0"/>
  </r>
  <r>
    <s v="I26_022440"/>
    <x v="543"/>
    <s v="Clôturé"/>
    <x v="1"/>
    <x v="0"/>
    <x v="0"/>
    <x v="0"/>
  </r>
  <r>
    <s v="I26_022494"/>
    <x v="544"/>
    <s v="Clôturé"/>
    <x v="1"/>
    <x v="0"/>
    <x v="0"/>
    <x v="0"/>
  </r>
  <r>
    <s v="I26_022558"/>
    <x v="545"/>
    <s v="Clôturé"/>
    <x v="1"/>
    <x v="0"/>
    <x v="0"/>
    <x v="0"/>
  </r>
  <r>
    <s v="I26_022675"/>
    <x v="546"/>
    <s v="Clôturé"/>
    <x v="1"/>
    <x v="1"/>
    <x v="2"/>
    <x v="10"/>
  </r>
  <r>
    <s v="I26_022722"/>
    <x v="547"/>
    <s v="Clôturé"/>
    <x v="1"/>
    <x v="1"/>
    <x v="5"/>
    <x v="2"/>
  </r>
  <r>
    <s v="I26_022727"/>
    <x v="548"/>
    <s v="Clôturé"/>
    <x v="0"/>
    <x v="0"/>
    <x v="0"/>
    <x v="0"/>
  </r>
  <r>
    <s v="I26_022735"/>
    <x v="549"/>
    <s v="Clôturé"/>
    <x v="0"/>
    <x v="0"/>
    <x v="0"/>
    <x v="0"/>
  </r>
  <r>
    <s v="I26_022763"/>
    <x v="550"/>
    <s v="Clôturé"/>
    <x v="1"/>
    <x v="1"/>
    <x v="1"/>
    <x v="7"/>
  </r>
  <r>
    <s v="I26_022926"/>
    <x v="551"/>
    <s v="Clôturé"/>
    <x v="1"/>
    <x v="0"/>
    <x v="0"/>
    <x v="0"/>
  </r>
  <r>
    <s v="I26_022972"/>
    <x v="552"/>
    <s v="En cours"/>
    <x v="1"/>
    <x v="1"/>
    <x v="18"/>
    <x v="2"/>
  </r>
  <r>
    <s v="I26_022975"/>
    <x v="553"/>
    <s v="Clôturé"/>
    <x v="1"/>
    <x v="1"/>
    <x v="11"/>
    <x v="4"/>
  </r>
  <r>
    <s v="I26_022977"/>
    <x v="554"/>
    <s v="En attente de validation de l'analyse"/>
    <x v="1"/>
    <x v="1"/>
    <x v="9"/>
    <x v="5"/>
  </r>
  <r>
    <s v="I26_022979"/>
    <x v="555"/>
    <s v="En attente"/>
    <x v="1"/>
    <x v="1"/>
    <x v="9"/>
    <x v="5"/>
  </r>
  <r>
    <s v="I26_022990"/>
    <x v="556"/>
    <s v="Redirigé"/>
    <x v="1"/>
    <x v="1"/>
    <x v="3"/>
    <x v="2"/>
  </r>
  <r>
    <s v="I26_023076"/>
    <x v="557"/>
    <s v="Clôturé"/>
    <x v="1"/>
    <x v="1"/>
    <x v="20"/>
    <x v="2"/>
  </r>
  <r>
    <s v="I26_023087"/>
    <x v="558"/>
    <s v="En attente de validation de l'analyse"/>
    <x v="1"/>
    <x v="1"/>
    <x v="3"/>
    <x v="2"/>
  </r>
  <r>
    <s v="I26_023113"/>
    <x v="559"/>
    <s v="Clôturé"/>
    <x v="1"/>
    <x v="1"/>
    <x v="3"/>
    <x v="2"/>
  </r>
  <r>
    <s v="I26_023139"/>
    <x v="560"/>
    <s v="En attente"/>
    <x v="1"/>
    <x v="1"/>
    <x v="4"/>
    <x v="5"/>
  </r>
  <r>
    <s v="I26_023176"/>
    <x v="561"/>
    <s v="Annulé"/>
    <x v="1"/>
    <x v="1"/>
    <x v="2"/>
    <x v="4"/>
  </r>
  <r>
    <s v="I26_023189"/>
    <x v="562"/>
    <s v="Clôturé"/>
    <x v="0"/>
    <x v="0"/>
    <x v="0"/>
    <x v="0"/>
  </r>
  <r>
    <s v="I26_023190"/>
    <x v="563"/>
    <s v="Clôturé"/>
    <x v="0"/>
    <x v="0"/>
    <x v="0"/>
    <x v="0"/>
  </r>
  <r>
    <s v="I26_023206"/>
    <x v="564"/>
    <s v="Clôturé"/>
    <x v="1"/>
    <x v="0"/>
    <x v="0"/>
    <x v="0"/>
  </r>
  <r>
    <s v="I26_023331"/>
    <x v="565"/>
    <s v="Résolu"/>
    <x v="1"/>
    <x v="1"/>
    <x v="13"/>
    <x v="9"/>
  </r>
  <r>
    <s v="I26_023345"/>
    <x v="566"/>
    <s v="Clôturé"/>
    <x v="1"/>
    <x v="0"/>
    <x v="0"/>
    <x v="0"/>
  </r>
  <r>
    <s v="I26_023388"/>
    <x v="567"/>
    <s v="En attente"/>
    <x v="1"/>
    <x v="1"/>
    <x v="5"/>
    <x v="5"/>
  </r>
  <r>
    <s v="I26_023489"/>
    <x v="568"/>
    <s v="Clôturé"/>
    <x v="1"/>
    <x v="0"/>
    <x v="0"/>
    <x v="0"/>
  </r>
  <r>
    <s v="I26_023509"/>
    <x v="569"/>
    <s v="Clôturé"/>
    <x v="1"/>
    <x v="0"/>
    <x v="0"/>
    <x v="0"/>
  </r>
  <r>
    <s v="I26_023626"/>
    <x v="570"/>
    <s v="Clôturé"/>
    <x v="1"/>
    <x v="0"/>
    <x v="0"/>
    <x v="0"/>
  </r>
  <r>
    <s v="I26_023643"/>
    <x v="571"/>
    <s v="Clôturé"/>
    <x v="1"/>
    <x v="1"/>
    <x v="3"/>
    <x v="2"/>
  </r>
  <r>
    <s v="I26_024489"/>
    <x v="572"/>
    <s v="Clôturé"/>
    <x v="1"/>
    <x v="0"/>
    <x v="0"/>
    <x v="0"/>
  </r>
  <r>
    <s v="I26_024817"/>
    <x v="573"/>
    <s v="Clôturé"/>
    <x v="1"/>
    <x v="1"/>
    <x v="2"/>
    <x v="6"/>
  </r>
  <r>
    <s v="I26_024912"/>
    <x v="574"/>
    <s v="Clôturé"/>
    <x v="1"/>
    <x v="1"/>
    <x v="14"/>
    <x v="6"/>
  </r>
  <r>
    <s v="I26_024914"/>
    <x v="575"/>
    <s v="Clôturé"/>
    <x v="1"/>
    <x v="1"/>
    <x v="2"/>
    <x v="2"/>
  </r>
  <r>
    <s v="I26_024919"/>
    <x v="576"/>
    <s v="En attente"/>
    <x v="1"/>
    <x v="1"/>
    <x v="7"/>
    <x v="5"/>
  </r>
  <r>
    <s v="I26_024921"/>
    <x v="577"/>
    <s v="Clôturé"/>
    <x v="1"/>
    <x v="1"/>
    <x v="9"/>
    <x v="4"/>
  </r>
  <r>
    <s v="I26_025136"/>
    <x v="578"/>
    <s v="Clôturé"/>
    <x v="1"/>
    <x v="0"/>
    <x v="0"/>
    <x v="0"/>
  </r>
  <r>
    <s v="I26_025271"/>
    <x v="579"/>
    <s v="En attente"/>
    <x v="1"/>
    <x v="1"/>
    <x v="15"/>
    <x v="5"/>
  </r>
  <r>
    <s v="I26_025291"/>
    <x v="580"/>
    <s v="Clôturé"/>
    <x v="1"/>
    <x v="0"/>
    <x v="0"/>
    <x v="0"/>
  </r>
  <r>
    <s v="I26_025292"/>
    <x v="581"/>
    <s v="Clôturé"/>
    <x v="1"/>
    <x v="0"/>
    <x v="0"/>
    <x v="0"/>
  </r>
  <r>
    <s v="I26_025295"/>
    <x v="582"/>
    <s v="Clôturé"/>
    <x v="1"/>
    <x v="0"/>
    <x v="0"/>
    <x v="0"/>
  </r>
  <r>
    <s v="I26_025411"/>
    <x v="583"/>
    <s v="Clôturé"/>
    <x v="1"/>
    <x v="1"/>
    <x v="1"/>
    <x v="6"/>
  </r>
  <r>
    <s v="I26_025422"/>
    <x v="584"/>
    <s v="Clôturé"/>
    <x v="1"/>
    <x v="1"/>
    <x v="2"/>
    <x v="2"/>
  </r>
  <r>
    <s v="I26_025454"/>
    <x v="585"/>
    <s v="En attente"/>
    <x v="1"/>
    <x v="1"/>
    <x v="1"/>
    <x v="10"/>
  </r>
  <r>
    <s v="I26_025458"/>
    <x v="586"/>
    <s v="En attente de validation de l'analyse"/>
    <x v="1"/>
    <x v="1"/>
    <x v="6"/>
    <x v="5"/>
  </r>
  <r>
    <s v="I26_025580"/>
    <x v="587"/>
    <s v="Clôturé"/>
    <x v="1"/>
    <x v="1"/>
    <x v="4"/>
    <x v="3"/>
  </r>
  <r>
    <s v="I26_025630"/>
    <x v="588"/>
    <s v="En attente"/>
    <x v="1"/>
    <x v="1"/>
    <x v="5"/>
    <x v="5"/>
  </r>
  <r>
    <s v="I26_025701"/>
    <x v="589"/>
    <s v="En attente"/>
    <x v="1"/>
    <x v="1"/>
    <x v="6"/>
    <x v="7"/>
  </r>
  <r>
    <s v="I26_025888"/>
    <x v="590"/>
    <s v="En attente de validation de l'analyse"/>
    <x v="1"/>
    <x v="1"/>
    <x v="6"/>
    <x v="5"/>
  </r>
  <r>
    <s v="I26_026121"/>
    <x v="591"/>
    <s v="En cours"/>
    <x v="1"/>
    <x v="1"/>
    <x v="16"/>
    <x v="2"/>
  </r>
  <r>
    <s v="I26_026126"/>
    <x v="592"/>
    <s v="Clôturé"/>
    <x v="1"/>
    <x v="0"/>
    <x v="0"/>
    <x v="0"/>
  </r>
  <r>
    <s v="I26_026135"/>
    <x v="593"/>
    <s v="En cours"/>
    <x v="1"/>
    <x v="1"/>
    <x v="16"/>
    <x v="2"/>
  </r>
  <r>
    <s v="I26_026136"/>
    <x v="594"/>
    <s v="En cours"/>
    <x v="1"/>
    <x v="1"/>
    <x v="16"/>
    <x v="2"/>
  </r>
  <r>
    <s v="I26_026139"/>
    <x v="595"/>
    <s v="En cours"/>
    <x v="1"/>
    <x v="1"/>
    <x v="16"/>
    <x v="2"/>
  </r>
  <r>
    <s v="I26_026141"/>
    <x v="596"/>
    <s v="En cours"/>
    <x v="1"/>
    <x v="1"/>
    <x v="2"/>
    <x v="6"/>
  </r>
  <r>
    <s v="I26_026248"/>
    <x v="597"/>
    <s v="En attente"/>
    <x v="1"/>
    <x v="1"/>
    <x v="15"/>
    <x v="5"/>
  </r>
  <r>
    <s v="I26_026294"/>
    <x v="598"/>
    <s v="En attente"/>
    <x v="1"/>
    <x v="1"/>
    <x v="1"/>
    <x v="7"/>
  </r>
  <r>
    <s v="I26_026318"/>
    <x v="599"/>
    <s v="En attente"/>
    <x v="1"/>
    <x v="1"/>
    <x v="2"/>
    <x v="5"/>
  </r>
  <r>
    <s v="I26_026332"/>
    <x v="600"/>
    <s v="En cours"/>
    <x v="0"/>
    <x v="0"/>
    <x v="0"/>
    <x v="0"/>
  </r>
  <r>
    <s v="I26_026333"/>
    <x v="601"/>
    <s v="En cours"/>
    <x v="0"/>
    <x v="0"/>
    <x v="0"/>
    <x v="0"/>
  </r>
  <r>
    <s v="I26_026356"/>
    <x v="602"/>
    <s v="En cours"/>
    <x v="1"/>
    <x v="1"/>
    <x v="2"/>
    <x v="6"/>
  </r>
  <r>
    <s v="I26_026367"/>
    <x v="603"/>
    <s v="Clôturé"/>
    <x v="1"/>
    <x v="1"/>
    <x v="2"/>
    <x v="6"/>
  </r>
  <r>
    <s v="I26_026389"/>
    <x v="604"/>
    <s v="Clôturé"/>
    <x v="1"/>
    <x v="1"/>
    <x v="12"/>
    <x v="2"/>
  </r>
  <r>
    <s v="I26_026430"/>
    <x v="605"/>
    <s v="Clôturé"/>
    <x v="1"/>
    <x v="1"/>
    <x v="9"/>
    <x v="2"/>
  </r>
  <r>
    <s v="I26_026433"/>
    <x v="606"/>
    <s v="Clôturé"/>
    <x v="1"/>
    <x v="0"/>
    <x v="0"/>
    <x v="0"/>
  </r>
  <r>
    <s v="I26_026435"/>
    <x v="607"/>
    <s v="Clôturé"/>
    <x v="1"/>
    <x v="1"/>
    <x v="2"/>
    <x v="6"/>
  </r>
  <r>
    <s v="I26_026440"/>
    <x v="608"/>
    <s v="Clôturé"/>
    <x v="1"/>
    <x v="1"/>
    <x v="14"/>
    <x v="6"/>
  </r>
  <r>
    <s v="I26_026443"/>
    <x v="609"/>
    <s v="Clôturé"/>
    <x v="1"/>
    <x v="0"/>
    <x v="0"/>
    <x v="0"/>
  </r>
  <r>
    <s v="I26_026447"/>
    <x v="610"/>
    <s v="Clôturé"/>
    <x v="1"/>
    <x v="0"/>
    <x v="0"/>
    <x v="0"/>
  </r>
  <r>
    <s v="I26_026471"/>
    <x v="611"/>
    <s v="Clôturé"/>
    <x v="1"/>
    <x v="1"/>
    <x v="2"/>
    <x v="11"/>
  </r>
  <r>
    <s v="I26_026493"/>
    <x v="612"/>
    <s v="En attente"/>
    <x v="1"/>
    <x v="1"/>
    <x v="2"/>
    <x v="5"/>
  </r>
  <r>
    <s v="I26_026544"/>
    <x v="613"/>
    <s v="Clôturé"/>
    <x v="1"/>
    <x v="0"/>
    <x v="0"/>
    <x v="0"/>
  </r>
  <r>
    <s v="I26_026577"/>
    <x v="614"/>
    <s v="Clôturé"/>
    <x v="1"/>
    <x v="0"/>
    <x v="0"/>
    <x v="0"/>
  </r>
  <r>
    <s v="I26_026584"/>
    <x v="615"/>
    <s v="Clôturé"/>
    <x v="1"/>
    <x v="0"/>
    <x v="0"/>
    <x v="0"/>
  </r>
  <r>
    <s v="I26_026596"/>
    <x v="616"/>
    <s v="En attente de validation de l'analyse"/>
    <x v="1"/>
    <x v="1"/>
    <x v="16"/>
    <x v="2"/>
  </r>
  <r>
    <s v="I26_026602"/>
    <x v="617"/>
    <s v="En attente"/>
    <x v="1"/>
    <x v="1"/>
    <x v="2"/>
    <x v="5"/>
  </r>
  <r>
    <s v="I26_026624"/>
    <x v="618"/>
    <s v="Clôturé"/>
    <x v="1"/>
    <x v="1"/>
    <x v="2"/>
    <x v="2"/>
  </r>
  <r>
    <s v="I26_026625"/>
    <x v="619"/>
    <s v="En cours"/>
    <x v="1"/>
    <x v="1"/>
    <x v="2"/>
    <x v="4"/>
  </r>
  <r>
    <s v="I26_026639"/>
    <x v="620"/>
    <s v="En attente"/>
    <x v="1"/>
    <x v="1"/>
    <x v="1"/>
    <x v="10"/>
  </r>
  <r>
    <s v="I26_026658"/>
    <x v="621"/>
    <s v="Redirigé vers un niveau inférieur"/>
    <x v="1"/>
    <x v="0"/>
    <x v="0"/>
    <x v="0"/>
  </r>
  <r>
    <s v="I26_026672"/>
    <x v="622"/>
    <s v="Clôturé"/>
    <x v="1"/>
    <x v="1"/>
    <x v="5"/>
    <x v="2"/>
  </r>
  <r>
    <s v="I26_026796"/>
    <x v="623"/>
    <s v="Clôturé"/>
    <x v="1"/>
    <x v="1"/>
    <x v="2"/>
    <x v="2"/>
  </r>
  <r>
    <s v="I26_014831"/>
    <x v="624"/>
    <s v="Clôturé"/>
    <x v="1"/>
    <x v="1"/>
    <x v="2"/>
    <x v="5"/>
  </r>
  <r>
    <s v="I26_026831"/>
    <x v="625"/>
    <s v="Clôturé"/>
    <x v="1"/>
    <x v="0"/>
    <x v="0"/>
    <x v="0"/>
  </r>
  <r>
    <s v="I26_026837"/>
    <x v="626"/>
    <s v="Clôturé"/>
    <x v="1"/>
    <x v="0"/>
    <x v="0"/>
    <x v="0"/>
  </r>
  <r>
    <s v="I26_026848"/>
    <x v="627"/>
    <s v="Clôturé"/>
    <x v="1"/>
    <x v="0"/>
    <x v="0"/>
    <x v="0"/>
  </r>
  <r>
    <s v="I26_026854"/>
    <x v="628"/>
    <s v="Clôturé"/>
    <x v="1"/>
    <x v="0"/>
    <x v="0"/>
    <x v="0"/>
  </r>
  <r>
    <m/>
    <x v="629"/>
    <m/>
    <x v="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A539C-DE53-4828-8821-CE1909DF69E3}" name="Tableau croisé dynamique1" cacheId="43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E8" firstHeaderRow="1" firstDataRow="4" firstDataCol="1" rowPageCount="1" colPageCount="1"/>
  <pivotFields count="9">
    <pivotField dataField="1" showAll="0"/>
    <pivotField axis="axisCol" showAll="0">
      <items count="6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6"/>
        <item x="108"/>
        <item x="109"/>
        <item x="110"/>
        <item x="111"/>
        <item x="112"/>
        <item x="113"/>
        <item x="114"/>
        <item x="115"/>
        <item x="116"/>
        <item x="117"/>
        <item x="118"/>
        <item x="119"/>
        <item x="120"/>
        <item x="121"/>
        <item x="122"/>
        <item x="124"/>
        <item x="123"/>
        <item x="125"/>
        <item x="126"/>
        <item x="127"/>
        <item x="128"/>
        <item x="129"/>
        <item x="130"/>
        <item x="131"/>
        <item x="132"/>
        <item x="135"/>
        <item x="133"/>
        <item x="134"/>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30"/>
        <item x="229"/>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3"/>
        <item x="322"/>
        <item x="324"/>
        <item x="325"/>
        <item x="326"/>
        <item x="327"/>
        <item x="328"/>
        <item x="329"/>
        <item x="330"/>
        <item x="332"/>
        <item x="331"/>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629"/>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showAll="0"/>
    <pivotField axis="axisRow" showAll="0">
      <items count="7">
        <item x="1"/>
        <item x="0"/>
        <item x="3"/>
        <item x="2"/>
        <item x="5"/>
        <item x="4"/>
        <item t="default"/>
      </items>
    </pivotField>
    <pivotField axis="axisPage" multipleItemSelectionAllowed="1" showAll="0">
      <items count="4">
        <item h="1" x="0"/>
        <item x="1"/>
        <item h="1" x="2"/>
        <item t="default"/>
      </items>
    </pivotField>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i>
    <i t="grand">
      <x/>
    </i>
  </rowItems>
  <colFields count="3">
    <field x="8"/>
    <field x="7"/>
    <field x="1"/>
  </colFields>
  <colItems count="4">
    <i>
      <x v="1"/>
    </i>
    <i>
      <x v="2"/>
    </i>
    <i>
      <x v="3"/>
    </i>
    <i t="grand">
      <x/>
    </i>
  </colItems>
  <pageFields count="1">
    <pageField fld="4" hier="-1"/>
  </pageFields>
  <dataFields count="1">
    <dataField name="Nombre de N° d'Incid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5190C-5751-4577-A68D-A9B5C49F821B}" name="Tableau croisé dynamique1" cacheId="43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6" firstHeaderRow="1" firstDataRow="1" firstDataCol="1" rowPageCount="1" colPageCount="1"/>
  <pivotFields count="9">
    <pivotField dataField="1" showAll="0"/>
    <pivotField showAll="0">
      <items count="6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6"/>
        <item x="108"/>
        <item x="109"/>
        <item x="110"/>
        <item x="111"/>
        <item x="112"/>
        <item x="113"/>
        <item x="114"/>
        <item x="115"/>
        <item x="116"/>
        <item x="117"/>
        <item x="118"/>
        <item x="119"/>
        <item x="120"/>
        <item x="121"/>
        <item x="122"/>
        <item x="124"/>
        <item x="123"/>
        <item x="125"/>
        <item x="126"/>
        <item x="127"/>
        <item x="128"/>
        <item x="129"/>
        <item x="130"/>
        <item x="131"/>
        <item x="132"/>
        <item x="135"/>
        <item x="133"/>
        <item x="134"/>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30"/>
        <item x="229"/>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3"/>
        <item x="322"/>
        <item x="324"/>
        <item x="325"/>
        <item x="326"/>
        <item x="327"/>
        <item x="328"/>
        <item x="329"/>
        <item x="330"/>
        <item x="332"/>
        <item x="331"/>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8"/>
        <item x="427"/>
        <item x="429"/>
        <item x="430"/>
        <item x="431"/>
        <item x="432"/>
        <item x="433"/>
        <item x="434"/>
        <item x="435"/>
        <item x="436"/>
        <item x="437"/>
        <item x="438"/>
        <item x="439"/>
        <item x="440"/>
        <item x="441"/>
        <item x="442"/>
        <item x="443"/>
        <item x="444"/>
        <item x="445"/>
        <item x="447"/>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8"/>
        <item x="517"/>
        <item x="519"/>
        <item x="520"/>
        <item x="521"/>
        <item x="522"/>
        <item x="523"/>
        <item x="524"/>
        <item x="526"/>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29"/>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showAll="0"/>
    <pivotField showAll="0"/>
    <pivotField axis="axisPage" multipleItemSelectionAllowed="1" showAll="0">
      <items count="4">
        <item h="1" x="0"/>
        <item x="1"/>
        <item h="1" x="2"/>
        <item t="default"/>
      </items>
    </pivotField>
    <pivotField showAll="0"/>
    <pivotField axis="axisRow" showAll="0">
      <items count="16">
        <item x="1"/>
        <item x="2"/>
        <item x="7"/>
        <item x="9"/>
        <item x="4"/>
        <item x="8"/>
        <item x="12"/>
        <item m="1" x="14"/>
        <item x="10"/>
        <item m="1" x="13"/>
        <item x="3"/>
        <item x="5"/>
        <item x="11"/>
        <item x="6"/>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3">
    <i>
      <x/>
    </i>
    <i>
      <x v="1"/>
    </i>
    <i>
      <x v="2"/>
    </i>
    <i>
      <x v="3"/>
    </i>
    <i>
      <x v="4"/>
    </i>
    <i>
      <x v="5"/>
    </i>
    <i>
      <x v="6"/>
    </i>
    <i>
      <x v="8"/>
    </i>
    <i>
      <x v="10"/>
    </i>
    <i>
      <x v="11"/>
    </i>
    <i>
      <x v="12"/>
    </i>
    <i>
      <x v="13"/>
    </i>
    <i t="grand">
      <x/>
    </i>
  </rowItems>
  <colItems count="1">
    <i/>
  </colItems>
  <pageFields count="1">
    <pageField fld="4" hier="-1"/>
  </pageFields>
  <dataFields count="1">
    <dataField name="Nombre de N° d'Incid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BA81C-7A1F-4BE4-9839-83867F24B8DB}" name="Tableau croisé dynamique2" cacheId="43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24" firstHeaderRow="1" firstDataRow="1" firstDataCol="1" rowPageCount="1" colPageCount="1"/>
  <pivotFields count="9">
    <pivotField dataField="1" showAll="0"/>
    <pivotField showAll="0">
      <items count="6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6"/>
        <item x="108"/>
        <item x="109"/>
        <item x="110"/>
        <item x="111"/>
        <item x="112"/>
        <item x="113"/>
        <item x="114"/>
        <item x="115"/>
        <item x="116"/>
        <item x="117"/>
        <item x="118"/>
        <item x="119"/>
        <item x="120"/>
        <item x="121"/>
        <item x="122"/>
        <item x="124"/>
        <item x="123"/>
        <item x="125"/>
        <item x="126"/>
        <item x="127"/>
        <item x="128"/>
        <item x="129"/>
        <item x="130"/>
        <item x="131"/>
        <item x="132"/>
        <item x="135"/>
        <item x="133"/>
        <item x="134"/>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30"/>
        <item x="229"/>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3"/>
        <item x="322"/>
        <item x="324"/>
        <item x="325"/>
        <item x="326"/>
        <item x="327"/>
        <item x="328"/>
        <item x="329"/>
        <item x="330"/>
        <item x="332"/>
        <item x="331"/>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8"/>
        <item x="427"/>
        <item x="429"/>
        <item x="430"/>
        <item x="431"/>
        <item x="432"/>
        <item x="433"/>
        <item x="434"/>
        <item x="435"/>
        <item x="436"/>
        <item x="437"/>
        <item x="438"/>
        <item x="439"/>
        <item x="440"/>
        <item x="441"/>
        <item x="442"/>
        <item x="443"/>
        <item x="444"/>
        <item x="445"/>
        <item x="447"/>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8"/>
        <item x="517"/>
        <item x="519"/>
        <item x="520"/>
        <item x="521"/>
        <item x="522"/>
        <item x="523"/>
        <item x="524"/>
        <item x="526"/>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29"/>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pivotField>
    <pivotField showAll="0"/>
    <pivotField showAll="0"/>
    <pivotField axis="axisPage" multipleItemSelectionAllowed="1" showAll="0">
      <items count="4">
        <item h="1" x="0"/>
        <item x="1"/>
        <item h="1" x="2"/>
        <item t="default"/>
      </items>
    </pivotField>
    <pivotField axis="axisRow" showAll="0">
      <items count="22">
        <item x="13"/>
        <item x="9"/>
        <item x="5"/>
        <item x="1"/>
        <item x="14"/>
        <item x="10"/>
        <item x="8"/>
        <item x="18"/>
        <item x="15"/>
        <item x="7"/>
        <item x="12"/>
        <item x="6"/>
        <item x="3"/>
        <item x="2"/>
        <item x="11"/>
        <item x="17"/>
        <item x="16"/>
        <item x="4"/>
        <item x="0"/>
        <item x="19"/>
        <item x="2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1">
    <i>
      <x/>
    </i>
    <i>
      <x v="1"/>
    </i>
    <i>
      <x v="2"/>
    </i>
    <i>
      <x v="3"/>
    </i>
    <i>
      <x v="4"/>
    </i>
    <i>
      <x v="5"/>
    </i>
    <i>
      <x v="6"/>
    </i>
    <i>
      <x v="7"/>
    </i>
    <i>
      <x v="8"/>
    </i>
    <i>
      <x v="9"/>
    </i>
    <i>
      <x v="10"/>
    </i>
    <i>
      <x v="11"/>
    </i>
    <i>
      <x v="12"/>
    </i>
    <i>
      <x v="13"/>
    </i>
    <i>
      <x v="14"/>
    </i>
    <i>
      <x v="15"/>
    </i>
    <i>
      <x v="16"/>
    </i>
    <i>
      <x v="17"/>
    </i>
    <i>
      <x v="19"/>
    </i>
    <i>
      <x v="20"/>
    </i>
    <i t="grand">
      <x/>
    </i>
  </rowItems>
  <colItems count="1">
    <i/>
  </colItems>
  <pageFields count="1">
    <pageField fld="4" hier="-1"/>
  </pageFields>
  <dataFields count="1">
    <dataField name="Nombre de N° d'Incid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4142E8-6E5A-4B43-9656-83B102FA2FE8}" name="tbl_Incidents" displayName="tbl_Incidents" ref="A1:R792" totalsRowShown="0" headerRowDxfId="3">
  <autoFilter ref="A1:R792" xr:uid="{4B4142E8-6E5A-4B43-9656-83B102FA2FE8}"/>
  <tableColumns count="18">
    <tableColumn id="1" xr3:uid="{669E5340-62C4-4F59-9C69-E94973BFC967}" name="N° d'Incident"/>
    <tableColumn id="2" xr3:uid="{E40FA1F9-4C7B-4762-80DD-A7B64296D9BC}" name="Date d'émission" dataDxfId="2"/>
    <tableColumn id="3" xr3:uid="{C4FB166E-B8EE-4A09-9E1D-9190B4867AC5}" name="Statut"/>
    <tableColumn id="4" xr3:uid="{38BD0395-3FB6-44AF-B294-45D37B97722C}" name="Sujet"/>
    <tableColumn id="5" xr3:uid="{CA2BF1EE-C10E-4B93-B613-8ABB81C70FAE}" name="INTERVENTION OMV"/>
    <tableColumn id="6" xr3:uid="{89C9BBF0-FCAD-4BFF-B04E-01D7B395F676}" name="SERVICE"/>
    <tableColumn id="7" xr3:uid="{DC2AAA85-C538-4768-BF92-6A501FA9E48E}" name="ORIGINE"/>
    <tableColumn id="8" xr3:uid="{B92E6188-D206-41FD-913E-C831B1230E99}" name="Description" dataDxfId="1"/>
    <tableColumn id="9" xr3:uid="{7EE4BB1B-6EAB-4392-977C-9F6C0C9A6B94}" name="Demandeur"/>
    <tableColumn id="10" xr3:uid="{77EDD3AC-CDD3-4DF2-A03A-3FDC774D441B}" name="Urgence"/>
    <tableColumn id="11" xr3:uid="{8382810E-20C2-4543-8CF3-C4B75D22964F}" name="Origine2"/>
    <tableColumn id="12" xr3:uid="{37A7A3D8-AB5C-462C-93B4-C93145B24C9F}" name="Bénéficiaire"/>
    <tableColumn id="13" xr3:uid="{115914EF-F21A-4423-95F7-BB71DA8AA862}" name="Incident parent"/>
    <tableColumn id="14" xr3:uid="{493E6D13-5596-4780-8511-9B56821D86D7}" name="Résolution immédiate"/>
    <tableColumn id="15" xr3:uid="{3F1AE6C2-3271-402F-8A36-B4C550A5D7DB}" name="Date de fin" dataDxfId="0"/>
    <tableColumn id="16" xr3:uid="{2A12AA2C-28DB-41DC-8E90-80B0A79CB3BC}" name="Traité par"/>
    <tableColumn id="17" xr3:uid="{D9FE7569-1F6F-46F7-BC31-8FB4BF10AF60}" name="Cause réelle"/>
    <tableColumn id="18" xr3:uid="{EFBCEE27-8E81-41D9-842A-75EFF453B18D}" name="Enregistré par"/>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7FF8-1F54-4C56-AAF3-ED9212346E90}">
  <sheetPr codeName="Feuil1"/>
  <dimension ref="A1:E8"/>
  <sheetViews>
    <sheetView workbookViewId="0">
      <selection activeCell="B7" sqref="B7:D7"/>
    </sheetView>
  </sheetViews>
  <sheetFormatPr defaultColWidth="11.42578125" defaultRowHeight="15"/>
  <cols>
    <col min="1" max="1" width="23.28515625" bestFit="1" customWidth="1"/>
    <col min="2" max="2" width="23.85546875" bestFit="1" customWidth="1"/>
    <col min="3" max="3" width="6.42578125" bestFit="1" customWidth="1"/>
    <col min="4" max="4" width="7.140625" bestFit="1" customWidth="1"/>
    <col min="5" max="5" width="12.5703125" bestFit="1" customWidth="1"/>
    <col min="6" max="405" width="23.85546875" bestFit="1" customWidth="1"/>
    <col min="406" max="406" width="12.5703125" bestFit="1" customWidth="1"/>
  </cols>
  <sheetData>
    <row r="1" spans="1:5">
      <c r="A1" s="3" t="s">
        <v>0</v>
      </c>
      <c r="B1" t="s">
        <v>1</v>
      </c>
    </row>
    <row r="3" spans="1:5">
      <c r="A3" s="3" t="s">
        <v>2</v>
      </c>
      <c r="B3" s="3" t="s">
        <v>3</v>
      </c>
    </row>
    <row r="4" spans="1:5">
      <c r="B4" t="s">
        <v>4</v>
      </c>
      <c r="C4" t="s">
        <v>5</v>
      </c>
      <c r="D4" t="s">
        <v>6</v>
      </c>
      <c r="E4" t="s">
        <v>7</v>
      </c>
    </row>
    <row r="6" spans="1:5">
      <c r="A6" s="3" t="s">
        <v>8</v>
      </c>
    </row>
    <row r="7" spans="1:5">
      <c r="A7" s="4" t="s">
        <v>9</v>
      </c>
      <c r="B7">
        <v>152</v>
      </c>
      <c r="C7">
        <v>128</v>
      </c>
      <c r="D7">
        <v>112</v>
      </c>
      <c r="E7">
        <v>392</v>
      </c>
    </row>
    <row r="8" spans="1:5">
      <c r="A8" s="4" t="s">
        <v>7</v>
      </c>
      <c r="B8">
        <v>152</v>
      </c>
      <c r="C8">
        <v>128</v>
      </c>
      <c r="D8">
        <v>112</v>
      </c>
      <c r="E8">
        <v>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B62F-78F6-4314-A97E-40E743A8DBB3}">
  <sheetPr codeName="Feuil2"/>
  <dimension ref="A1:B16"/>
  <sheetViews>
    <sheetView workbookViewId="0">
      <selection activeCell="A4" sqref="A4:B15"/>
    </sheetView>
  </sheetViews>
  <sheetFormatPr defaultColWidth="11.42578125" defaultRowHeight="15"/>
  <cols>
    <col min="1" max="1" width="24.42578125" bestFit="1" customWidth="1"/>
    <col min="2" max="2" width="23.28515625" bestFit="1" customWidth="1"/>
  </cols>
  <sheetData>
    <row r="1" spans="1:2">
      <c r="A1" s="3" t="s">
        <v>0</v>
      </c>
      <c r="B1" t="s">
        <v>1</v>
      </c>
    </row>
    <row r="3" spans="1:2">
      <c r="A3" s="3" t="s">
        <v>8</v>
      </c>
      <c r="B3" t="s">
        <v>2</v>
      </c>
    </row>
    <row r="4" spans="1:2">
      <c r="A4" s="4" t="s">
        <v>10</v>
      </c>
      <c r="B4">
        <v>20</v>
      </c>
    </row>
    <row r="5" spans="1:2">
      <c r="A5" s="4" t="s">
        <v>11</v>
      </c>
      <c r="B5">
        <v>127</v>
      </c>
    </row>
    <row r="6" spans="1:2">
      <c r="A6" s="4" t="s">
        <v>12</v>
      </c>
      <c r="B6">
        <v>16</v>
      </c>
    </row>
    <row r="7" spans="1:2">
      <c r="A7" s="4" t="s">
        <v>13</v>
      </c>
      <c r="B7">
        <v>4</v>
      </c>
    </row>
    <row r="8" spans="1:2">
      <c r="A8" s="4" t="s">
        <v>14</v>
      </c>
      <c r="B8">
        <v>47</v>
      </c>
    </row>
    <row r="9" spans="1:2">
      <c r="A9" s="4" t="s">
        <v>15</v>
      </c>
      <c r="B9">
        <v>12</v>
      </c>
    </row>
    <row r="10" spans="1:2">
      <c r="A10" s="4" t="s">
        <v>16</v>
      </c>
      <c r="B10">
        <v>2</v>
      </c>
    </row>
    <row r="11" spans="1:2">
      <c r="A11" s="4" t="s">
        <v>17</v>
      </c>
      <c r="B11">
        <v>30</v>
      </c>
    </row>
    <row r="12" spans="1:2">
      <c r="A12" s="4" t="s">
        <v>18</v>
      </c>
      <c r="B12">
        <v>8</v>
      </c>
    </row>
    <row r="13" spans="1:2">
      <c r="A13" s="4" t="s">
        <v>19</v>
      </c>
      <c r="B13">
        <v>65</v>
      </c>
    </row>
    <row r="14" spans="1:2">
      <c r="A14" s="4" t="s">
        <v>20</v>
      </c>
      <c r="B14">
        <v>10</v>
      </c>
    </row>
    <row r="15" spans="1:2">
      <c r="A15" s="4" t="s">
        <v>21</v>
      </c>
      <c r="B15">
        <v>51</v>
      </c>
    </row>
    <row r="16" spans="1:2">
      <c r="A16" s="4" t="s">
        <v>7</v>
      </c>
      <c r="B16">
        <v>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1728-AC32-43B3-96C6-BA160278F0DF}">
  <sheetPr codeName="Feuil3"/>
  <dimension ref="A4:C18"/>
  <sheetViews>
    <sheetView workbookViewId="0">
      <selection activeCell="B15" sqref="B15"/>
    </sheetView>
  </sheetViews>
  <sheetFormatPr defaultColWidth="11.42578125" defaultRowHeight="15"/>
  <cols>
    <col min="1" max="1" width="25" customWidth="1"/>
    <col min="2" max="2" width="24.42578125" customWidth="1"/>
    <col min="3" max="3" width="14.140625" bestFit="1" customWidth="1"/>
  </cols>
  <sheetData>
    <row r="4" spans="1:3">
      <c r="A4" t="s">
        <v>22</v>
      </c>
      <c r="B4" t="s">
        <v>23</v>
      </c>
      <c r="C4" t="s">
        <v>24</v>
      </c>
    </row>
    <row r="5" spans="1:3">
      <c r="A5" s="4" t="s">
        <v>10</v>
      </c>
      <c r="B5">
        <v>20</v>
      </c>
      <c r="C5" s="6">
        <f>B5/$B$18</f>
        <v>5.1020408163265307E-2</v>
      </c>
    </row>
    <row r="6" spans="1:3">
      <c r="A6" s="4" t="s">
        <v>11</v>
      </c>
      <c r="B6">
        <v>127</v>
      </c>
      <c r="C6" s="6">
        <f t="shared" ref="C6:C16" si="0">B6/$B$18</f>
        <v>0.32397959183673469</v>
      </c>
    </row>
    <row r="7" spans="1:3">
      <c r="A7" s="4" t="s">
        <v>12</v>
      </c>
      <c r="B7">
        <v>16</v>
      </c>
      <c r="C7" s="6">
        <f t="shared" si="0"/>
        <v>4.0816326530612242E-2</v>
      </c>
    </row>
    <row r="8" spans="1:3">
      <c r="A8" s="4" t="s">
        <v>13</v>
      </c>
      <c r="B8">
        <v>4</v>
      </c>
      <c r="C8" s="6">
        <f t="shared" si="0"/>
        <v>1.020408163265306E-2</v>
      </c>
    </row>
    <row r="9" spans="1:3">
      <c r="A9" s="4" t="s">
        <v>14</v>
      </c>
      <c r="B9">
        <v>47</v>
      </c>
      <c r="C9" s="6">
        <f t="shared" si="0"/>
        <v>0.11989795918367346</v>
      </c>
    </row>
    <row r="10" spans="1:3">
      <c r="A10" s="4" t="s">
        <v>15</v>
      </c>
      <c r="B10">
        <v>12</v>
      </c>
      <c r="C10" s="6">
        <f t="shared" si="0"/>
        <v>3.0612244897959183E-2</v>
      </c>
    </row>
    <row r="11" spans="1:3">
      <c r="A11" s="4" t="s">
        <v>16</v>
      </c>
      <c r="B11">
        <v>2</v>
      </c>
      <c r="C11" s="6">
        <f t="shared" si="0"/>
        <v>5.1020408163265302E-3</v>
      </c>
    </row>
    <row r="12" spans="1:3">
      <c r="A12" s="4" t="s">
        <v>17</v>
      </c>
      <c r="B12">
        <v>30</v>
      </c>
      <c r="C12" s="6">
        <f t="shared" si="0"/>
        <v>7.6530612244897961E-2</v>
      </c>
    </row>
    <row r="13" spans="1:3">
      <c r="A13" s="4" t="s">
        <v>18</v>
      </c>
      <c r="B13">
        <v>8</v>
      </c>
      <c r="C13" s="6">
        <f t="shared" si="0"/>
        <v>2.0408163265306121E-2</v>
      </c>
    </row>
    <row r="14" spans="1:3">
      <c r="A14" s="4" t="s">
        <v>19</v>
      </c>
      <c r="B14">
        <v>65</v>
      </c>
      <c r="C14" s="6">
        <f t="shared" si="0"/>
        <v>0.16581632653061223</v>
      </c>
    </row>
    <row r="15" spans="1:3">
      <c r="A15" s="4" t="s">
        <v>20</v>
      </c>
      <c r="B15">
        <v>10</v>
      </c>
      <c r="C15" s="6">
        <f t="shared" si="0"/>
        <v>2.5510204081632654E-2</v>
      </c>
    </row>
    <row r="16" spans="1:3">
      <c r="A16" s="4" t="s">
        <v>21</v>
      </c>
      <c r="B16">
        <v>51</v>
      </c>
      <c r="C16" s="6">
        <f t="shared" si="0"/>
        <v>0.13010204081632654</v>
      </c>
    </row>
    <row r="17" spans="1:3">
      <c r="A17" s="4"/>
      <c r="C17" s="6"/>
    </row>
    <row r="18" spans="1:3">
      <c r="A18" s="4" t="s">
        <v>25</v>
      </c>
      <c r="B18">
        <f>SUM(B5:B17)</f>
        <v>392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ED208-83F2-4907-AD2B-D86EAF98BE93}">
  <sheetPr codeName="Feuil4"/>
  <dimension ref="A1:B24"/>
  <sheetViews>
    <sheetView workbookViewId="0">
      <selection activeCell="B14" sqref="B14"/>
    </sheetView>
  </sheetViews>
  <sheetFormatPr defaultColWidth="11.42578125" defaultRowHeight="15"/>
  <cols>
    <col min="1" max="1" width="21.5703125" bestFit="1" customWidth="1"/>
    <col min="2" max="2" width="23.28515625" bestFit="1" customWidth="1"/>
  </cols>
  <sheetData>
    <row r="1" spans="1:2">
      <c r="A1" s="3" t="s">
        <v>0</v>
      </c>
      <c r="B1" t="s">
        <v>1</v>
      </c>
    </row>
    <row r="3" spans="1:2">
      <c r="A3" s="3" t="s">
        <v>8</v>
      </c>
      <c r="B3" t="s">
        <v>2</v>
      </c>
    </row>
    <row r="4" spans="1:2">
      <c r="A4" s="4" t="s">
        <v>13</v>
      </c>
      <c r="B4">
        <v>4</v>
      </c>
    </row>
    <row r="5" spans="1:2">
      <c r="A5" s="4" t="s">
        <v>26</v>
      </c>
      <c r="B5">
        <v>23</v>
      </c>
    </row>
    <row r="6" spans="1:2">
      <c r="A6" s="4" t="s">
        <v>27</v>
      </c>
      <c r="B6">
        <v>40</v>
      </c>
    </row>
    <row r="7" spans="1:2">
      <c r="A7" s="4" t="s">
        <v>28</v>
      </c>
      <c r="B7">
        <v>60</v>
      </c>
    </row>
    <row r="8" spans="1:2">
      <c r="A8" s="4" t="s">
        <v>29</v>
      </c>
      <c r="B8">
        <v>11</v>
      </c>
    </row>
    <row r="9" spans="1:2">
      <c r="A9" s="4" t="s">
        <v>15</v>
      </c>
      <c r="B9">
        <v>12</v>
      </c>
    </row>
    <row r="10" spans="1:2">
      <c r="A10" s="4" t="s">
        <v>30</v>
      </c>
      <c r="B10">
        <v>3</v>
      </c>
    </row>
    <row r="11" spans="1:2">
      <c r="A11" s="4" t="s">
        <v>31</v>
      </c>
      <c r="B11">
        <v>21</v>
      </c>
    </row>
    <row r="12" spans="1:2">
      <c r="A12" s="4" t="s">
        <v>32</v>
      </c>
      <c r="B12">
        <v>9</v>
      </c>
    </row>
    <row r="13" spans="1:2">
      <c r="A13" s="4" t="s">
        <v>33</v>
      </c>
      <c r="B13">
        <v>6</v>
      </c>
    </row>
    <row r="14" spans="1:2">
      <c r="A14" s="4" t="s">
        <v>34</v>
      </c>
      <c r="B14">
        <v>5</v>
      </c>
    </row>
    <row r="15" spans="1:2">
      <c r="A15" s="4" t="s">
        <v>35</v>
      </c>
      <c r="B15">
        <v>23</v>
      </c>
    </row>
    <row r="16" spans="1:2">
      <c r="A16" s="4" t="s">
        <v>36</v>
      </c>
      <c r="B16">
        <v>36</v>
      </c>
    </row>
    <row r="17" spans="1:2">
      <c r="A17" s="4" t="s">
        <v>37</v>
      </c>
      <c r="B17">
        <v>98</v>
      </c>
    </row>
    <row r="18" spans="1:2">
      <c r="A18" s="4" t="s">
        <v>38</v>
      </c>
      <c r="B18">
        <v>6</v>
      </c>
    </row>
    <row r="19" spans="1:2">
      <c r="A19" s="4" t="s">
        <v>39</v>
      </c>
      <c r="B19">
        <v>5</v>
      </c>
    </row>
    <row r="20" spans="1:2">
      <c r="A20" s="4" t="s">
        <v>40</v>
      </c>
      <c r="B20">
        <v>8</v>
      </c>
    </row>
    <row r="21" spans="1:2">
      <c r="A21" s="4" t="s">
        <v>41</v>
      </c>
      <c r="B21">
        <v>20</v>
      </c>
    </row>
    <row r="22" spans="1:2">
      <c r="A22" s="4" t="s">
        <v>42</v>
      </c>
      <c r="B22">
        <v>1</v>
      </c>
    </row>
    <row r="23" spans="1:2">
      <c r="A23" s="4" t="s">
        <v>43</v>
      </c>
      <c r="B23">
        <v>1</v>
      </c>
    </row>
    <row r="24" spans="1:2">
      <c r="A24" s="4" t="s">
        <v>7</v>
      </c>
      <c r="B24">
        <v>392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38F4-44F8-4ADF-BE36-FF97D1CEC12F}">
  <sheetPr codeName="Feuil5"/>
  <dimension ref="A1:R792"/>
  <sheetViews>
    <sheetView tabSelected="1" topLeftCell="P772" workbookViewId="0">
      <selection activeCell="S2" sqref="S2:S792"/>
    </sheetView>
  </sheetViews>
  <sheetFormatPr defaultColWidth="11.42578125" defaultRowHeight="15"/>
  <cols>
    <col min="1" max="1" width="15" bestFit="1" customWidth="1"/>
    <col min="2" max="2" width="17.7109375" bestFit="1" customWidth="1"/>
    <col min="3" max="3" width="35.140625" bestFit="1" customWidth="1"/>
    <col min="4" max="4" width="23.28515625" bestFit="1" customWidth="1"/>
    <col min="5" max="6" width="22.28515625" bestFit="1" customWidth="1"/>
    <col min="7" max="7" width="24.85546875" bestFit="1" customWidth="1"/>
    <col min="8" max="8" width="109.42578125" customWidth="1"/>
    <col min="9" max="9" width="38.5703125" bestFit="1" customWidth="1"/>
    <col min="10" max="10" width="12.140625" bestFit="1" customWidth="1"/>
    <col min="12" max="12" width="38.5703125" bestFit="1" customWidth="1"/>
    <col min="13" max="13" width="17.28515625" bestFit="1" customWidth="1"/>
    <col min="14" max="14" width="23.28515625" bestFit="1" customWidth="1"/>
    <col min="15" max="15" width="16" bestFit="1" customWidth="1"/>
    <col min="16" max="16" width="27.42578125" bestFit="1" customWidth="1"/>
    <col min="17" max="17" width="16" bestFit="1" customWidth="1"/>
    <col min="18" max="18" width="34.140625" bestFit="1" customWidth="1"/>
  </cols>
  <sheetData>
    <row r="1" spans="1:18" ht="15" customHeight="1">
      <c r="A1" s="5" t="s">
        <v>44</v>
      </c>
      <c r="B1" s="5" t="s">
        <v>45</v>
      </c>
      <c r="C1" s="5" t="s">
        <v>46</v>
      </c>
      <c r="D1" s="5" t="s">
        <v>47</v>
      </c>
      <c r="E1" s="5" t="s">
        <v>0</v>
      </c>
      <c r="F1" s="5" t="s">
        <v>48</v>
      </c>
      <c r="G1" s="5" t="s">
        <v>22</v>
      </c>
      <c r="H1" s="5" t="s">
        <v>49</v>
      </c>
      <c r="I1" s="5" t="s">
        <v>50</v>
      </c>
      <c r="J1" s="5" t="s">
        <v>51</v>
      </c>
      <c r="K1" s="5" t="s">
        <v>52</v>
      </c>
      <c r="L1" s="5" t="s">
        <v>53</v>
      </c>
      <c r="M1" s="5" t="s">
        <v>54</v>
      </c>
      <c r="N1" s="5" t="s">
        <v>55</v>
      </c>
      <c r="O1" s="5" t="s">
        <v>56</v>
      </c>
      <c r="P1" s="5" t="s">
        <v>57</v>
      </c>
      <c r="Q1" s="5" t="s">
        <v>58</v>
      </c>
      <c r="R1" s="5" t="s">
        <v>59</v>
      </c>
    </row>
    <row r="2" spans="1:18" ht="15" customHeight="1">
      <c r="A2" t="s">
        <v>60</v>
      </c>
      <c r="B2" s="1">
        <v>46024.292627314811</v>
      </c>
      <c r="C2" t="s">
        <v>61</v>
      </c>
      <c r="D2" t="s">
        <v>62</v>
      </c>
      <c r="E2" t="s">
        <v>63</v>
      </c>
      <c r="H2" t="s">
        <v>64</v>
      </c>
      <c r="I2" t="s">
        <v>65</v>
      </c>
      <c r="J2" t="s">
        <v>66</v>
      </c>
      <c r="K2" t="s">
        <v>67</v>
      </c>
      <c r="L2" t="s">
        <v>65</v>
      </c>
      <c r="N2">
        <v>0</v>
      </c>
      <c r="O2" s="1">
        <v>46024.470821759256</v>
      </c>
      <c r="P2" t="s">
        <v>68</v>
      </c>
      <c r="Q2" t="s">
        <v>69</v>
      </c>
      <c r="R2" t="s">
        <v>65</v>
      </c>
    </row>
    <row r="3" spans="1:18" ht="15" customHeight="1">
      <c r="A3" t="s">
        <v>70</v>
      </c>
      <c r="B3" s="1">
        <v>46024.296111111114</v>
      </c>
      <c r="C3" t="s">
        <v>61</v>
      </c>
      <c r="D3" t="s">
        <v>62</v>
      </c>
      <c r="E3" t="s">
        <v>63</v>
      </c>
      <c r="H3" t="s">
        <v>71</v>
      </c>
      <c r="I3" t="s">
        <v>65</v>
      </c>
      <c r="J3" t="s">
        <v>66</v>
      </c>
      <c r="K3" t="s">
        <v>67</v>
      </c>
      <c r="L3" t="s">
        <v>65</v>
      </c>
      <c r="M3" t="s">
        <v>60</v>
      </c>
      <c r="N3">
        <v>0</v>
      </c>
      <c r="O3" s="1">
        <v>46024.47079861111</v>
      </c>
      <c r="P3" t="s">
        <v>68</v>
      </c>
      <c r="Q3" t="s">
        <v>69</v>
      </c>
      <c r="R3" t="s">
        <v>65</v>
      </c>
    </row>
    <row r="4" spans="1:18" ht="15" customHeight="1">
      <c r="A4" t="s">
        <v>72</v>
      </c>
      <c r="B4" s="1">
        <v>46024.421990740739</v>
      </c>
      <c r="C4" t="s">
        <v>61</v>
      </c>
      <c r="D4" t="s">
        <v>9</v>
      </c>
      <c r="E4" t="s">
        <v>63</v>
      </c>
      <c r="H4" s="2" t="s">
        <v>73</v>
      </c>
      <c r="I4" t="s">
        <v>74</v>
      </c>
      <c r="J4" t="s">
        <v>75</v>
      </c>
      <c r="K4" t="s">
        <v>76</v>
      </c>
      <c r="L4" t="s">
        <v>74</v>
      </c>
      <c r="N4">
        <v>1</v>
      </c>
      <c r="O4" s="1">
        <v>46024.425439814811</v>
      </c>
      <c r="Q4" t="s">
        <v>69</v>
      </c>
      <c r="R4" t="s">
        <v>77</v>
      </c>
    </row>
    <row r="5" spans="1:18" ht="15" customHeight="1">
      <c r="A5" t="s">
        <v>78</v>
      </c>
      <c r="B5" s="1">
        <v>46024.679456018515</v>
      </c>
      <c r="C5" t="s">
        <v>61</v>
      </c>
      <c r="D5" t="s">
        <v>9</v>
      </c>
      <c r="E5" t="s">
        <v>1</v>
      </c>
      <c r="F5" t="s">
        <v>28</v>
      </c>
      <c r="G5" t="s">
        <v>10</v>
      </c>
      <c r="H5" t="s">
        <v>79</v>
      </c>
      <c r="I5" t="s">
        <v>80</v>
      </c>
      <c r="J5" t="s">
        <v>75</v>
      </c>
      <c r="K5" t="s">
        <v>81</v>
      </c>
      <c r="L5" t="s">
        <v>80</v>
      </c>
      <c r="N5">
        <v>0</v>
      </c>
      <c r="O5" s="1">
        <v>46024.73574074074</v>
      </c>
      <c r="P5" t="s">
        <v>82</v>
      </c>
      <c r="Q5" t="s">
        <v>69</v>
      </c>
      <c r="R5" t="s">
        <v>83</v>
      </c>
    </row>
    <row r="6" spans="1:18" ht="15" customHeight="1">
      <c r="A6" t="s">
        <v>84</v>
      </c>
      <c r="B6" s="1">
        <v>46027.364745370367</v>
      </c>
      <c r="C6" t="s">
        <v>61</v>
      </c>
      <c r="D6" t="s">
        <v>9</v>
      </c>
      <c r="E6" t="s">
        <v>63</v>
      </c>
      <c r="H6" t="s">
        <v>85</v>
      </c>
      <c r="I6" t="s">
        <v>86</v>
      </c>
      <c r="J6" t="s">
        <v>75</v>
      </c>
      <c r="K6" t="s">
        <v>76</v>
      </c>
      <c r="L6" t="s">
        <v>86</v>
      </c>
      <c r="N6">
        <v>1</v>
      </c>
      <c r="O6" s="1">
        <v>46027.366643518515</v>
      </c>
      <c r="Q6" t="s">
        <v>69</v>
      </c>
      <c r="R6" t="s">
        <v>87</v>
      </c>
    </row>
    <row r="7" spans="1:18" ht="15" customHeight="1">
      <c r="A7" t="s">
        <v>88</v>
      </c>
      <c r="B7" s="1">
        <v>46027.396793981483</v>
      </c>
      <c r="C7" t="s">
        <v>61</v>
      </c>
      <c r="D7" t="s">
        <v>9</v>
      </c>
      <c r="E7" t="s">
        <v>63</v>
      </c>
      <c r="H7" s="2" t="s">
        <v>89</v>
      </c>
      <c r="I7" t="s">
        <v>90</v>
      </c>
      <c r="J7" t="s">
        <v>75</v>
      </c>
      <c r="K7" t="s">
        <v>76</v>
      </c>
      <c r="L7" t="s">
        <v>90</v>
      </c>
      <c r="N7">
        <v>0</v>
      </c>
      <c r="O7" s="1">
        <v>46027.585694444446</v>
      </c>
      <c r="P7" t="s">
        <v>91</v>
      </c>
      <c r="Q7" t="s">
        <v>69</v>
      </c>
      <c r="R7" t="s">
        <v>92</v>
      </c>
    </row>
    <row r="8" spans="1:18" ht="15" customHeight="1">
      <c r="A8" t="s">
        <v>93</v>
      </c>
      <c r="B8" s="1">
        <v>46027.429166666669</v>
      </c>
      <c r="C8" t="s">
        <v>94</v>
      </c>
      <c r="D8" t="s">
        <v>9</v>
      </c>
      <c r="E8" t="s">
        <v>1</v>
      </c>
      <c r="F8" t="s">
        <v>28</v>
      </c>
      <c r="G8" t="s">
        <v>10</v>
      </c>
      <c r="H8" t="s">
        <v>95</v>
      </c>
      <c r="I8" t="s">
        <v>80</v>
      </c>
      <c r="J8" t="s">
        <v>96</v>
      </c>
      <c r="K8" t="s">
        <v>81</v>
      </c>
      <c r="L8" t="s">
        <v>80</v>
      </c>
      <c r="N8">
        <v>0</v>
      </c>
      <c r="O8" s="1">
        <v>46066.464039351849</v>
      </c>
      <c r="P8" t="s">
        <v>97</v>
      </c>
      <c r="Q8" t="s">
        <v>98</v>
      </c>
      <c r="R8" t="s">
        <v>83</v>
      </c>
    </row>
    <row r="9" spans="1:18" ht="15" customHeight="1">
      <c r="A9" t="s">
        <v>99</v>
      </c>
      <c r="B9" s="1">
        <v>46027.444374999999</v>
      </c>
      <c r="C9" t="s">
        <v>61</v>
      </c>
      <c r="D9" t="s">
        <v>9</v>
      </c>
      <c r="E9" t="s">
        <v>1</v>
      </c>
      <c r="F9" t="s">
        <v>37</v>
      </c>
      <c r="G9" t="s">
        <v>11</v>
      </c>
      <c r="H9" t="s">
        <v>100</v>
      </c>
      <c r="I9" t="s">
        <v>101</v>
      </c>
      <c r="J9" t="s">
        <v>75</v>
      </c>
      <c r="K9" t="s">
        <v>81</v>
      </c>
      <c r="L9" t="s">
        <v>101</v>
      </c>
      <c r="N9">
        <v>0</v>
      </c>
      <c r="O9" s="1">
        <v>46027.673136574071</v>
      </c>
      <c r="P9" t="s">
        <v>82</v>
      </c>
      <c r="Q9" t="s">
        <v>69</v>
      </c>
      <c r="R9" t="s">
        <v>83</v>
      </c>
    </row>
    <row r="10" spans="1:18" ht="15" customHeight="1">
      <c r="A10" t="s">
        <v>102</v>
      </c>
      <c r="B10" s="1">
        <v>46027.452060185184</v>
      </c>
      <c r="C10" t="s">
        <v>61</v>
      </c>
      <c r="D10" t="s">
        <v>9</v>
      </c>
      <c r="E10" t="s">
        <v>63</v>
      </c>
      <c r="H10" s="2" t="s">
        <v>103</v>
      </c>
      <c r="I10" t="s">
        <v>104</v>
      </c>
      <c r="J10" t="s">
        <v>75</v>
      </c>
      <c r="K10" t="s">
        <v>76</v>
      </c>
      <c r="L10" t="s">
        <v>104</v>
      </c>
      <c r="N10">
        <v>1</v>
      </c>
      <c r="O10" s="1">
        <v>46027.46234953704</v>
      </c>
      <c r="Q10" t="s">
        <v>69</v>
      </c>
      <c r="R10" t="s">
        <v>105</v>
      </c>
    </row>
    <row r="11" spans="1:18" ht="15" customHeight="1">
      <c r="A11" t="s">
        <v>106</v>
      </c>
      <c r="B11" s="1">
        <v>46027.467569444445</v>
      </c>
      <c r="C11" t="s">
        <v>61</v>
      </c>
      <c r="D11" t="s">
        <v>9</v>
      </c>
      <c r="E11" t="s">
        <v>63</v>
      </c>
      <c r="H11" t="s">
        <v>107</v>
      </c>
      <c r="I11" t="s">
        <v>104</v>
      </c>
      <c r="J11" t="s">
        <v>75</v>
      </c>
      <c r="K11" t="s">
        <v>76</v>
      </c>
      <c r="L11" t="s">
        <v>104</v>
      </c>
      <c r="N11">
        <v>1</v>
      </c>
      <c r="O11" s="1">
        <v>46027.470173611109</v>
      </c>
      <c r="Q11" t="s">
        <v>69</v>
      </c>
      <c r="R11" t="s">
        <v>105</v>
      </c>
    </row>
    <row r="12" spans="1:18" ht="15" customHeight="1">
      <c r="A12" t="s">
        <v>108</v>
      </c>
      <c r="B12" s="1">
        <v>46027.4762962963</v>
      </c>
      <c r="C12" t="s">
        <v>61</v>
      </c>
      <c r="D12" t="s">
        <v>9</v>
      </c>
      <c r="E12" t="s">
        <v>63</v>
      </c>
      <c r="H12" s="2" t="s">
        <v>109</v>
      </c>
      <c r="I12" t="s">
        <v>104</v>
      </c>
      <c r="J12" t="s">
        <v>75</v>
      </c>
      <c r="K12" t="s">
        <v>76</v>
      </c>
      <c r="L12" t="s">
        <v>104</v>
      </c>
      <c r="N12">
        <v>0</v>
      </c>
      <c r="O12" s="1">
        <v>46027.588506944441</v>
      </c>
      <c r="P12" t="s">
        <v>91</v>
      </c>
      <c r="Q12" t="s">
        <v>69</v>
      </c>
      <c r="R12" t="s">
        <v>110</v>
      </c>
    </row>
    <row r="13" spans="1:18" ht="15" customHeight="1">
      <c r="A13" t="s">
        <v>111</v>
      </c>
      <c r="B13" s="1">
        <v>46027.495023148149</v>
      </c>
      <c r="C13" t="s">
        <v>61</v>
      </c>
      <c r="D13" t="s">
        <v>9</v>
      </c>
      <c r="E13" t="s">
        <v>1</v>
      </c>
      <c r="F13" t="s">
        <v>36</v>
      </c>
      <c r="G13" t="s">
        <v>11</v>
      </c>
      <c r="H13" t="s">
        <v>112</v>
      </c>
      <c r="I13" t="s">
        <v>113</v>
      </c>
      <c r="J13" t="s">
        <v>75</v>
      </c>
      <c r="K13" t="s">
        <v>81</v>
      </c>
      <c r="L13" t="s">
        <v>113</v>
      </c>
      <c r="N13">
        <v>0</v>
      </c>
      <c r="O13" s="1">
        <v>46028.464814814812</v>
      </c>
      <c r="P13" t="s">
        <v>82</v>
      </c>
      <c r="Q13" t="s">
        <v>69</v>
      </c>
      <c r="R13" t="s">
        <v>83</v>
      </c>
    </row>
    <row r="14" spans="1:18" ht="15" customHeight="1">
      <c r="A14" t="s">
        <v>114</v>
      </c>
      <c r="B14" s="1">
        <v>46027.522222222222</v>
      </c>
      <c r="C14" t="s">
        <v>61</v>
      </c>
      <c r="D14" t="s">
        <v>9</v>
      </c>
      <c r="E14" t="s">
        <v>1</v>
      </c>
      <c r="F14" t="s">
        <v>41</v>
      </c>
      <c r="G14" t="s">
        <v>18</v>
      </c>
      <c r="H14" s="2" t="s">
        <v>115</v>
      </c>
      <c r="I14" t="s">
        <v>116</v>
      </c>
      <c r="J14" t="s">
        <v>75</v>
      </c>
      <c r="K14" t="s">
        <v>76</v>
      </c>
      <c r="L14" t="s">
        <v>116</v>
      </c>
      <c r="N14">
        <v>0</v>
      </c>
      <c r="O14" s="1">
        <v>46029.328275462962</v>
      </c>
      <c r="P14" t="s">
        <v>97</v>
      </c>
      <c r="Q14" t="s">
        <v>117</v>
      </c>
      <c r="R14" t="s">
        <v>118</v>
      </c>
    </row>
    <row r="15" spans="1:18" ht="15" customHeight="1">
      <c r="A15" t="s">
        <v>119</v>
      </c>
      <c r="B15" s="1">
        <v>46027.559930555559</v>
      </c>
      <c r="C15" t="s">
        <v>61</v>
      </c>
      <c r="D15" t="s">
        <v>9</v>
      </c>
      <c r="E15" t="s">
        <v>63</v>
      </c>
      <c r="H15" s="2" t="s">
        <v>120</v>
      </c>
      <c r="I15" t="s">
        <v>121</v>
      </c>
      <c r="J15" t="s">
        <v>75</v>
      </c>
      <c r="K15" t="s">
        <v>76</v>
      </c>
      <c r="L15" t="s">
        <v>121</v>
      </c>
      <c r="N15">
        <v>1</v>
      </c>
      <c r="O15" s="1">
        <v>46027.56050925926</v>
      </c>
      <c r="Q15" t="s">
        <v>69</v>
      </c>
      <c r="R15" t="s">
        <v>105</v>
      </c>
    </row>
    <row r="16" spans="1:18" ht="15" customHeight="1">
      <c r="A16" t="s">
        <v>122</v>
      </c>
      <c r="B16" s="1">
        <v>46027.569340277776</v>
      </c>
      <c r="C16" t="s">
        <v>61</v>
      </c>
      <c r="D16" t="s">
        <v>9</v>
      </c>
      <c r="E16" t="s">
        <v>1</v>
      </c>
      <c r="F16" t="s">
        <v>27</v>
      </c>
      <c r="G16" t="s">
        <v>11</v>
      </c>
      <c r="H16" s="2" t="s">
        <v>123</v>
      </c>
      <c r="I16" t="s">
        <v>124</v>
      </c>
      <c r="J16" t="s">
        <v>75</v>
      </c>
      <c r="K16" t="s">
        <v>81</v>
      </c>
      <c r="L16" t="s">
        <v>124</v>
      </c>
      <c r="N16">
        <v>0</v>
      </c>
      <c r="O16" s="1">
        <v>46031.313275462962</v>
      </c>
      <c r="P16" t="s">
        <v>97</v>
      </c>
      <c r="Q16" t="s">
        <v>69</v>
      </c>
      <c r="R16" t="s">
        <v>125</v>
      </c>
    </row>
    <row r="17" spans="1:18" ht="15" customHeight="1">
      <c r="A17" t="s">
        <v>126</v>
      </c>
      <c r="B17" s="1">
        <v>46027.634687500002</v>
      </c>
      <c r="C17" t="s">
        <v>61</v>
      </c>
      <c r="D17" t="s">
        <v>9</v>
      </c>
      <c r="E17" t="s">
        <v>1</v>
      </c>
      <c r="F17" t="s">
        <v>36</v>
      </c>
      <c r="G17" t="s">
        <v>11</v>
      </c>
      <c r="H17" t="s">
        <v>127</v>
      </c>
      <c r="I17" t="s">
        <v>128</v>
      </c>
      <c r="J17" t="s">
        <v>75</v>
      </c>
      <c r="K17" t="s">
        <v>81</v>
      </c>
      <c r="L17" t="s">
        <v>128</v>
      </c>
      <c r="N17">
        <v>0</v>
      </c>
      <c r="O17" s="1">
        <v>46027.680752314816</v>
      </c>
      <c r="P17" t="s">
        <v>82</v>
      </c>
      <c r="Q17" t="s">
        <v>69</v>
      </c>
      <c r="R17" t="s">
        <v>83</v>
      </c>
    </row>
    <row r="18" spans="1:18" ht="15" customHeight="1">
      <c r="A18" t="s">
        <v>129</v>
      </c>
      <c r="B18" s="1">
        <v>46027.679224537038</v>
      </c>
      <c r="C18" t="s">
        <v>61</v>
      </c>
      <c r="D18" t="s">
        <v>9</v>
      </c>
      <c r="E18" t="s">
        <v>1</v>
      </c>
      <c r="F18" t="s">
        <v>36</v>
      </c>
      <c r="G18" t="s">
        <v>14</v>
      </c>
      <c r="H18" s="2" t="s">
        <v>130</v>
      </c>
      <c r="I18" t="s">
        <v>131</v>
      </c>
      <c r="J18" t="s">
        <v>75</v>
      </c>
      <c r="K18" t="s">
        <v>81</v>
      </c>
      <c r="L18" t="s">
        <v>131</v>
      </c>
      <c r="N18">
        <v>0</v>
      </c>
      <c r="O18" s="1">
        <v>46031.313055555554</v>
      </c>
      <c r="P18" t="s">
        <v>97</v>
      </c>
      <c r="Q18" t="s">
        <v>117</v>
      </c>
      <c r="R18" t="s">
        <v>77</v>
      </c>
    </row>
    <row r="19" spans="1:18" ht="15" customHeight="1">
      <c r="A19" t="s">
        <v>132</v>
      </c>
      <c r="B19" s="1">
        <v>46027.687002314815</v>
      </c>
      <c r="C19" t="s">
        <v>61</v>
      </c>
      <c r="D19" t="s">
        <v>9</v>
      </c>
      <c r="E19" t="s">
        <v>1</v>
      </c>
      <c r="F19" t="s">
        <v>35</v>
      </c>
      <c r="G19" t="s">
        <v>19</v>
      </c>
      <c r="H19" s="2" t="s">
        <v>133</v>
      </c>
      <c r="I19" t="s">
        <v>134</v>
      </c>
      <c r="J19" t="s">
        <v>75</v>
      </c>
      <c r="K19" t="s">
        <v>81</v>
      </c>
      <c r="L19" t="s">
        <v>134</v>
      </c>
      <c r="N19">
        <v>0</v>
      </c>
      <c r="O19" s="1">
        <v>46071.314432870371</v>
      </c>
      <c r="P19" t="s">
        <v>97</v>
      </c>
      <c r="Q19" t="s">
        <v>98</v>
      </c>
      <c r="R19" t="s">
        <v>83</v>
      </c>
    </row>
    <row r="20" spans="1:18" ht="15" customHeight="1">
      <c r="A20" t="s">
        <v>135</v>
      </c>
      <c r="B20" s="1">
        <v>46028.330590277779</v>
      </c>
      <c r="C20" t="s">
        <v>61</v>
      </c>
      <c r="D20" t="s">
        <v>9</v>
      </c>
      <c r="E20" t="s">
        <v>1</v>
      </c>
      <c r="F20" t="s">
        <v>37</v>
      </c>
      <c r="G20" t="s">
        <v>18</v>
      </c>
      <c r="H20" s="2" t="s">
        <v>136</v>
      </c>
      <c r="I20" t="s">
        <v>118</v>
      </c>
      <c r="J20" t="s">
        <v>75</v>
      </c>
      <c r="K20" t="s">
        <v>76</v>
      </c>
      <c r="L20" t="s">
        <v>118</v>
      </c>
      <c r="N20">
        <v>0</v>
      </c>
      <c r="O20" s="1">
        <v>46029.330648148149</v>
      </c>
      <c r="P20" t="s">
        <v>97</v>
      </c>
      <c r="Q20" t="s">
        <v>137</v>
      </c>
      <c r="R20" t="s">
        <v>118</v>
      </c>
    </row>
    <row r="21" spans="1:18" ht="15" customHeight="1">
      <c r="A21" t="s">
        <v>138</v>
      </c>
      <c r="B21" s="1">
        <v>46028.443356481483</v>
      </c>
      <c r="C21" t="s">
        <v>61</v>
      </c>
      <c r="D21" t="s">
        <v>9</v>
      </c>
      <c r="E21" t="s">
        <v>63</v>
      </c>
      <c r="H21" t="s">
        <v>139</v>
      </c>
      <c r="I21" t="s">
        <v>140</v>
      </c>
      <c r="J21" t="s">
        <v>75</v>
      </c>
      <c r="K21" t="s">
        <v>76</v>
      </c>
      <c r="L21" t="s">
        <v>140</v>
      </c>
      <c r="N21">
        <v>1</v>
      </c>
      <c r="O21" s="1">
        <v>46028.444398148145</v>
      </c>
      <c r="Q21" t="s">
        <v>141</v>
      </c>
      <c r="R21" t="s">
        <v>87</v>
      </c>
    </row>
    <row r="22" spans="1:18" ht="15" customHeight="1">
      <c r="A22" t="s">
        <v>142</v>
      </c>
      <c r="B22" s="1">
        <v>46028.460370370369</v>
      </c>
      <c r="C22" t="s">
        <v>61</v>
      </c>
      <c r="D22" t="s">
        <v>9</v>
      </c>
      <c r="E22" t="s">
        <v>1</v>
      </c>
      <c r="F22" t="s">
        <v>41</v>
      </c>
      <c r="G22" t="s">
        <v>18</v>
      </c>
      <c r="H22" s="2" t="s">
        <v>143</v>
      </c>
      <c r="I22" t="s">
        <v>116</v>
      </c>
      <c r="J22" t="s">
        <v>75</v>
      </c>
      <c r="K22" t="s">
        <v>76</v>
      </c>
      <c r="L22" t="s">
        <v>116</v>
      </c>
      <c r="N22">
        <v>0</v>
      </c>
      <c r="O22" s="1">
        <v>46029.330254629633</v>
      </c>
      <c r="P22" t="s">
        <v>97</v>
      </c>
      <c r="Q22" t="s">
        <v>117</v>
      </c>
      <c r="R22" t="s">
        <v>118</v>
      </c>
    </row>
    <row r="23" spans="1:18" ht="15" customHeight="1">
      <c r="A23" t="s">
        <v>144</v>
      </c>
      <c r="B23" s="1">
        <v>46028.646655092591</v>
      </c>
      <c r="C23" t="s">
        <v>61</v>
      </c>
      <c r="D23" t="s">
        <v>9</v>
      </c>
      <c r="E23" t="s">
        <v>63</v>
      </c>
      <c r="H23" t="s">
        <v>145</v>
      </c>
      <c r="I23" t="s">
        <v>146</v>
      </c>
      <c r="J23" t="s">
        <v>75</v>
      </c>
      <c r="K23" t="s">
        <v>76</v>
      </c>
      <c r="L23" t="s">
        <v>146</v>
      </c>
      <c r="N23">
        <v>1</v>
      </c>
      <c r="O23" s="1">
        <v>46028.680972222224</v>
      </c>
      <c r="Q23" t="s">
        <v>147</v>
      </c>
      <c r="R23" t="s">
        <v>92</v>
      </c>
    </row>
    <row r="24" spans="1:18" ht="15" customHeight="1">
      <c r="A24" t="s">
        <v>148</v>
      </c>
      <c r="B24" s="1">
        <v>46029.365231481483</v>
      </c>
      <c r="C24" t="s">
        <v>61</v>
      </c>
      <c r="D24" t="s">
        <v>9</v>
      </c>
      <c r="E24" t="s">
        <v>1</v>
      </c>
      <c r="F24" t="s">
        <v>28</v>
      </c>
      <c r="G24" t="s">
        <v>11</v>
      </c>
      <c r="H24" s="2" t="s">
        <v>149</v>
      </c>
      <c r="I24" t="s">
        <v>150</v>
      </c>
      <c r="J24" t="s">
        <v>75</v>
      </c>
      <c r="K24" t="s">
        <v>81</v>
      </c>
      <c r="L24" t="s">
        <v>150</v>
      </c>
      <c r="N24">
        <v>0</v>
      </c>
      <c r="O24" s="1">
        <v>46029.413206018522</v>
      </c>
      <c r="P24" t="s">
        <v>82</v>
      </c>
      <c r="Q24" t="s">
        <v>69</v>
      </c>
      <c r="R24" t="s">
        <v>151</v>
      </c>
    </row>
    <row r="25" spans="1:18" ht="15" customHeight="1">
      <c r="A25" t="s">
        <v>152</v>
      </c>
      <c r="B25" s="1">
        <v>46029.395833333336</v>
      </c>
      <c r="C25" t="s">
        <v>61</v>
      </c>
      <c r="D25" t="s">
        <v>9</v>
      </c>
      <c r="E25" t="s">
        <v>63</v>
      </c>
      <c r="H25" t="s">
        <v>153</v>
      </c>
      <c r="I25" t="s">
        <v>154</v>
      </c>
      <c r="J25" t="s">
        <v>66</v>
      </c>
      <c r="K25" t="s">
        <v>76</v>
      </c>
      <c r="L25" t="s">
        <v>154</v>
      </c>
      <c r="N25">
        <v>1</v>
      </c>
      <c r="O25" s="1">
        <v>46029.402569444443</v>
      </c>
      <c r="Q25" t="s">
        <v>141</v>
      </c>
      <c r="R25" t="s">
        <v>155</v>
      </c>
    </row>
    <row r="26" spans="1:18" ht="15" customHeight="1">
      <c r="A26" t="s">
        <v>156</v>
      </c>
      <c r="B26" s="1">
        <v>46029.425798611112</v>
      </c>
      <c r="C26" t="s">
        <v>61</v>
      </c>
      <c r="D26" t="s">
        <v>9</v>
      </c>
      <c r="E26" t="s">
        <v>63</v>
      </c>
      <c r="H26" s="2" t="s">
        <v>157</v>
      </c>
      <c r="I26" t="s">
        <v>158</v>
      </c>
      <c r="J26" t="s">
        <v>75</v>
      </c>
      <c r="K26" t="s">
        <v>76</v>
      </c>
      <c r="L26" t="s">
        <v>158</v>
      </c>
      <c r="N26">
        <v>1</v>
      </c>
      <c r="O26" s="1">
        <v>46029.427361111113</v>
      </c>
      <c r="Q26" t="s">
        <v>69</v>
      </c>
      <c r="R26" t="s">
        <v>77</v>
      </c>
    </row>
    <row r="27" spans="1:18" ht="15" customHeight="1">
      <c r="A27" t="s">
        <v>159</v>
      </c>
      <c r="B27" s="1">
        <v>46029.482986111114</v>
      </c>
      <c r="C27" t="s">
        <v>61</v>
      </c>
      <c r="D27" t="s">
        <v>9</v>
      </c>
      <c r="E27" t="s">
        <v>63</v>
      </c>
      <c r="H27" s="2" t="s">
        <v>160</v>
      </c>
      <c r="I27" t="s">
        <v>161</v>
      </c>
      <c r="J27" t="s">
        <v>75</v>
      </c>
      <c r="K27" t="s">
        <v>76</v>
      </c>
      <c r="L27" t="s">
        <v>161</v>
      </c>
      <c r="N27">
        <v>1</v>
      </c>
      <c r="O27" s="1">
        <v>46029.486539351848</v>
      </c>
      <c r="Q27" t="s">
        <v>147</v>
      </c>
      <c r="R27" t="s">
        <v>125</v>
      </c>
    </row>
    <row r="28" spans="1:18" ht="15" customHeight="1">
      <c r="A28" t="s">
        <v>162</v>
      </c>
      <c r="B28" s="1">
        <v>46029.582488425927</v>
      </c>
      <c r="C28" t="s">
        <v>61</v>
      </c>
      <c r="D28" t="s">
        <v>9</v>
      </c>
      <c r="E28" t="s">
        <v>1</v>
      </c>
      <c r="F28" t="s">
        <v>36</v>
      </c>
      <c r="G28" t="s">
        <v>18</v>
      </c>
      <c r="H28" s="2" t="s">
        <v>163</v>
      </c>
      <c r="I28" t="s">
        <v>113</v>
      </c>
      <c r="J28" t="s">
        <v>75</v>
      </c>
      <c r="K28" t="s">
        <v>81</v>
      </c>
      <c r="L28" t="s">
        <v>113</v>
      </c>
      <c r="N28">
        <v>0</v>
      </c>
      <c r="O28" s="1">
        <v>46031.312615740739</v>
      </c>
      <c r="P28" t="s">
        <v>97</v>
      </c>
      <c r="Q28" t="s">
        <v>117</v>
      </c>
      <c r="R28" t="s">
        <v>125</v>
      </c>
    </row>
    <row r="29" spans="1:18" ht="15" customHeight="1">
      <c r="A29" t="s">
        <v>164</v>
      </c>
      <c r="B29" s="1">
        <v>46029.597592592596</v>
      </c>
      <c r="C29" t="s">
        <v>165</v>
      </c>
      <c r="D29" t="s">
        <v>9</v>
      </c>
      <c r="E29" t="s">
        <v>1</v>
      </c>
      <c r="F29" t="s">
        <v>28</v>
      </c>
      <c r="G29" t="s">
        <v>10</v>
      </c>
      <c r="H29" s="2" t="s">
        <v>166</v>
      </c>
      <c r="I29" t="s">
        <v>167</v>
      </c>
      <c r="J29" t="s">
        <v>75</v>
      </c>
      <c r="K29" t="s">
        <v>76</v>
      </c>
      <c r="L29" t="s">
        <v>167</v>
      </c>
      <c r="N29">
        <v>0</v>
      </c>
      <c r="P29" t="s">
        <v>97</v>
      </c>
      <c r="R29" t="s">
        <v>167</v>
      </c>
    </row>
    <row r="30" spans="1:18" ht="15" customHeight="1">
      <c r="A30" t="s">
        <v>168</v>
      </c>
      <c r="B30" s="1">
        <v>46029.612013888887</v>
      </c>
      <c r="C30" t="s">
        <v>61</v>
      </c>
      <c r="D30" t="s">
        <v>9</v>
      </c>
      <c r="E30" t="s">
        <v>63</v>
      </c>
      <c r="H30" s="2" t="s">
        <v>169</v>
      </c>
      <c r="I30" t="s">
        <v>161</v>
      </c>
      <c r="J30" t="s">
        <v>75</v>
      </c>
      <c r="K30" t="s">
        <v>76</v>
      </c>
      <c r="L30" t="s">
        <v>161</v>
      </c>
      <c r="N30">
        <v>1</v>
      </c>
      <c r="O30" s="1">
        <v>46029.617754629631</v>
      </c>
      <c r="Q30" t="s">
        <v>147</v>
      </c>
      <c r="R30" t="s">
        <v>92</v>
      </c>
    </row>
    <row r="31" spans="1:18" ht="15" customHeight="1">
      <c r="A31" t="s">
        <v>170</v>
      </c>
      <c r="B31" s="1">
        <v>46029.616307870368</v>
      </c>
      <c r="C31" t="s">
        <v>61</v>
      </c>
      <c r="D31" t="s">
        <v>9</v>
      </c>
      <c r="E31" t="s">
        <v>63</v>
      </c>
      <c r="H31" t="s">
        <v>171</v>
      </c>
      <c r="I31" t="s">
        <v>172</v>
      </c>
      <c r="J31" t="s">
        <v>75</v>
      </c>
      <c r="K31" t="s">
        <v>76</v>
      </c>
      <c r="L31" t="s">
        <v>172</v>
      </c>
      <c r="N31">
        <v>1</v>
      </c>
      <c r="O31" s="1">
        <v>46029.617650462962</v>
      </c>
      <c r="Q31" t="s">
        <v>69</v>
      </c>
      <c r="R31" t="s">
        <v>77</v>
      </c>
    </row>
    <row r="32" spans="1:18" ht="15" customHeight="1">
      <c r="A32" t="s">
        <v>173</v>
      </c>
      <c r="B32" s="1">
        <v>46029.704618055555</v>
      </c>
      <c r="C32" t="s">
        <v>61</v>
      </c>
      <c r="D32" t="s">
        <v>9</v>
      </c>
      <c r="E32" t="s">
        <v>63</v>
      </c>
      <c r="H32" s="2" t="s">
        <v>174</v>
      </c>
      <c r="I32" t="s">
        <v>175</v>
      </c>
      <c r="J32" t="s">
        <v>75</v>
      </c>
      <c r="K32" t="s">
        <v>76</v>
      </c>
      <c r="L32" t="s">
        <v>175</v>
      </c>
      <c r="N32">
        <v>1</v>
      </c>
      <c r="O32" s="1">
        <v>46029.705625000002</v>
      </c>
      <c r="Q32" t="s">
        <v>176</v>
      </c>
      <c r="R32" t="s">
        <v>125</v>
      </c>
    </row>
    <row r="33" spans="1:18" ht="15" customHeight="1">
      <c r="A33" t="s">
        <v>177</v>
      </c>
      <c r="B33" s="1">
        <v>46029.706006944441</v>
      </c>
      <c r="C33" t="s">
        <v>94</v>
      </c>
      <c r="D33" t="s">
        <v>9</v>
      </c>
      <c r="E33" t="s">
        <v>1</v>
      </c>
      <c r="F33" t="s">
        <v>33</v>
      </c>
      <c r="G33" t="s">
        <v>19</v>
      </c>
      <c r="H33" s="2" t="s">
        <v>178</v>
      </c>
      <c r="I33" t="s">
        <v>179</v>
      </c>
      <c r="J33" t="s">
        <v>75</v>
      </c>
      <c r="K33" t="s">
        <v>81</v>
      </c>
      <c r="L33" t="s">
        <v>179</v>
      </c>
      <c r="N33">
        <v>0</v>
      </c>
      <c r="P33" t="s">
        <v>97</v>
      </c>
      <c r="Q33" t="s">
        <v>98</v>
      </c>
      <c r="R33" t="s">
        <v>125</v>
      </c>
    </row>
    <row r="34" spans="1:18" ht="15" customHeight="1">
      <c r="A34" t="s">
        <v>180</v>
      </c>
      <c r="B34" s="1">
        <v>46030.37804398148</v>
      </c>
      <c r="C34" t="s">
        <v>61</v>
      </c>
      <c r="D34" t="s">
        <v>9</v>
      </c>
      <c r="E34" t="s">
        <v>63</v>
      </c>
      <c r="H34" s="2" t="s">
        <v>181</v>
      </c>
      <c r="I34" t="s">
        <v>182</v>
      </c>
      <c r="J34" t="s">
        <v>75</v>
      </c>
      <c r="K34" t="s">
        <v>76</v>
      </c>
      <c r="L34" t="s">
        <v>182</v>
      </c>
      <c r="N34">
        <v>1</v>
      </c>
      <c r="O34" s="1">
        <v>46030.386400462965</v>
      </c>
      <c r="Q34" t="s">
        <v>147</v>
      </c>
      <c r="R34" t="s">
        <v>155</v>
      </c>
    </row>
    <row r="35" spans="1:18" ht="15" customHeight="1">
      <c r="A35" t="s">
        <v>183</v>
      </c>
      <c r="B35" s="1">
        <v>46030.387048611112</v>
      </c>
      <c r="C35" t="s">
        <v>184</v>
      </c>
      <c r="D35" t="s">
        <v>9</v>
      </c>
      <c r="E35" t="s">
        <v>1</v>
      </c>
      <c r="F35" t="s">
        <v>30</v>
      </c>
      <c r="G35" t="s">
        <v>11</v>
      </c>
      <c r="H35" t="s">
        <v>185</v>
      </c>
      <c r="I35" t="s">
        <v>186</v>
      </c>
      <c r="J35" t="s">
        <v>75</v>
      </c>
      <c r="K35" t="s">
        <v>81</v>
      </c>
      <c r="L35" t="s">
        <v>186</v>
      </c>
      <c r="N35">
        <v>0</v>
      </c>
      <c r="P35" t="s">
        <v>97</v>
      </c>
      <c r="R35" t="s">
        <v>87</v>
      </c>
    </row>
    <row r="36" spans="1:18" ht="15" customHeight="1">
      <c r="A36" t="s">
        <v>187</v>
      </c>
      <c r="B36" s="1">
        <v>46030.477743055555</v>
      </c>
      <c r="C36" t="s">
        <v>61</v>
      </c>
      <c r="D36" t="s">
        <v>9</v>
      </c>
      <c r="E36" t="s">
        <v>63</v>
      </c>
      <c r="H36" s="2" t="s">
        <v>188</v>
      </c>
      <c r="I36" t="s">
        <v>189</v>
      </c>
      <c r="J36" t="s">
        <v>75</v>
      </c>
      <c r="K36" t="s">
        <v>76</v>
      </c>
      <c r="L36" t="s">
        <v>189</v>
      </c>
      <c r="N36">
        <v>1</v>
      </c>
      <c r="O36" s="1">
        <v>46030.47865740741</v>
      </c>
      <c r="Q36" t="s">
        <v>141</v>
      </c>
      <c r="R36" t="s">
        <v>110</v>
      </c>
    </row>
    <row r="37" spans="1:18" ht="15" customHeight="1">
      <c r="A37" t="s">
        <v>190</v>
      </c>
      <c r="B37" s="1">
        <v>46030.641469907408</v>
      </c>
      <c r="C37" t="s">
        <v>61</v>
      </c>
      <c r="D37" t="s">
        <v>9</v>
      </c>
      <c r="E37" t="s">
        <v>1</v>
      </c>
      <c r="F37" t="s">
        <v>28</v>
      </c>
      <c r="G37" t="s">
        <v>21</v>
      </c>
      <c r="H37" s="2" t="s">
        <v>191</v>
      </c>
      <c r="I37" t="s">
        <v>150</v>
      </c>
      <c r="J37" t="s">
        <v>75</v>
      </c>
      <c r="K37" t="s">
        <v>81</v>
      </c>
      <c r="L37" t="s">
        <v>150</v>
      </c>
      <c r="N37">
        <v>0</v>
      </c>
      <c r="O37" s="1">
        <v>46037.488668981481</v>
      </c>
      <c r="P37" t="s">
        <v>82</v>
      </c>
      <c r="Q37" t="s">
        <v>69</v>
      </c>
      <c r="R37" t="s">
        <v>125</v>
      </c>
    </row>
    <row r="38" spans="1:18" ht="15" customHeight="1">
      <c r="A38" t="s">
        <v>192</v>
      </c>
      <c r="B38" s="1">
        <v>46030.643819444442</v>
      </c>
      <c r="C38" t="s">
        <v>184</v>
      </c>
      <c r="D38" t="s">
        <v>9</v>
      </c>
      <c r="E38" t="s">
        <v>1</v>
      </c>
      <c r="F38" t="s">
        <v>33</v>
      </c>
      <c r="G38" t="s">
        <v>19</v>
      </c>
      <c r="H38" s="2" t="s">
        <v>193</v>
      </c>
      <c r="I38" t="s">
        <v>146</v>
      </c>
      <c r="J38" t="s">
        <v>75</v>
      </c>
      <c r="K38" t="s">
        <v>81</v>
      </c>
      <c r="L38" t="s">
        <v>146</v>
      </c>
      <c r="N38">
        <v>0</v>
      </c>
      <c r="P38" t="s">
        <v>97</v>
      </c>
      <c r="R38" t="s">
        <v>125</v>
      </c>
    </row>
    <row r="39" spans="1:18" ht="15" customHeight="1">
      <c r="A39" t="s">
        <v>194</v>
      </c>
      <c r="B39" s="1">
        <v>46030.688807870371</v>
      </c>
      <c r="C39" t="s">
        <v>61</v>
      </c>
      <c r="D39" t="s">
        <v>9</v>
      </c>
      <c r="E39" t="s">
        <v>1</v>
      </c>
      <c r="F39" t="s">
        <v>37</v>
      </c>
      <c r="G39" t="s">
        <v>14</v>
      </c>
      <c r="H39" s="2" t="s">
        <v>195</v>
      </c>
      <c r="I39" t="s">
        <v>196</v>
      </c>
      <c r="J39" t="s">
        <v>75</v>
      </c>
      <c r="K39" t="s">
        <v>81</v>
      </c>
      <c r="L39" t="s">
        <v>196</v>
      </c>
      <c r="N39">
        <v>0</v>
      </c>
      <c r="O39" s="1">
        <v>46050.319351851853</v>
      </c>
      <c r="P39" t="s">
        <v>97</v>
      </c>
      <c r="Q39" t="s">
        <v>117</v>
      </c>
      <c r="R39" t="s">
        <v>125</v>
      </c>
    </row>
    <row r="40" spans="1:18" ht="15" customHeight="1">
      <c r="A40" t="s">
        <v>197</v>
      </c>
      <c r="B40" s="1">
        <v>46030.748981481483</v>
      </c>
      <c r="C40" t="s">
        <v>61</v>
      </c>
      <c r="D40" t="s">
        <v>9</v>
      </c>
      <c r="E40" t="s">
        <v>1</v>
      </c>
      <c r="F40" t="s">
        <v>36</v>
      </c>
      <c r="G40" t="s">
        <v>11</v>
      </c>
      <c r="H40" s="2" t="s">
        <v>198</v>
      </c>
      <c r="I40" t="s">
        <v>128</v>
      </c>
      <c r="J40" t="s">
        <v>75</v>
      </c>
      <c r="K40" t="s">
        <v>81</v>
      </c>
      <c r="L40" t="s">
        <v>128</v>
      </c>
      <c r="N40">
        <v>0</v>
      </c>
      <c r="O40" s="1">
        <v>46036.371365740742</v>
      </c>
      <c r="P40" t="s">
        <v>82</v>
      </c>
      <c r="Q40" t="s">
        <v>69</v>
      </c>
      <c r="R40" t="s">
        <v>125</v>
      </c>
    </row>
    <row r="41" spans="1:18" ht="15" customHeight="1">
      <c r="A41" t="s">
        <v>199</v>
      </c>
      <c r="B41" s="1">
        <v>46030.764988425923</v>
      </c>
      <c r="C41" t="s">
        <v>61</v>
      </c>
      <c r="D41" t="s">
        <v>9</v>
      </c>
      <c r="E41" t="s">
        <v>63</v>
      </c>
      <c r="H41" s="2" t="s">
        <v>174</v>
      </c>
      <c r="I41" t="s">
        <v>189</v>
      </c>
      <c r="J41" t="s">
        <v>75</v>
      </c>
      <c r="K41" t="s">
        <v>76</v>
      </c>
      <c r="L41" t="s">
        <v>189</v>
      </c>
      <c r="N41">
        <v>1</v>
      </c>
      <c r="O41" s="1">
        <v>46030.765949074077</v>
      </c>
      <c r="Q41" t="s">
        <v>176</v>
      </c>
      <c r="R41" t="s">
        <v>125</v>
      </c>
    </row>
    <row r="42" spans="1:18" ht="15" customHeight="1">
      <c r="A42" t="s">
        <v>200</v>
      </c>
      <c r="B42" s="1">
        <v>46030.802673611113</v>
      </c>
      <c r="C42" t="s">
        <v>61</v>
      </c>
      <c r="D42" t="s">
        <v>9</v>
      </c>
      <c r="E42" t="s">
        <v>1</v>
      </c>
      <c r="F42" t="s">
        <v>37</v>
      </c>
      <c r="G42" t="s">
        <v>21</v>
      </c>
      <c r="H42" s="2" t="s">
        <v>201</v>
      </c>
      <c r="I42" t="s">
        <v>202</v>
      </c>
      <c r="J42" t="s">
        <v>75</v>
      </c>
      <c r="K42" t="s">
        <v>81</v>
      </c>
      <c r="L42" t="s">
        <v>202</v>
      </c>
      <c r="N42">
        <v>0</v>
      </c>
      <c r="O42" s="1">
        <v>46037.451504629629</v>
      </c>
      <c r="P42" t="s">
        <v>82</v>
      </c>
      <c r="Q42" t="s">
        <v>69</v>
      </c>
      <c r="R42" t="s">
        <v>125</v>
      </c>
    </row>
    <row r="43" spans="1:18" ht="15" customHeight="1">
      <c r="A43" t="s">
        <v>203</v>
      </c>
      <c r="B43" s="1">
        <v>46031.421817129631</v>
      </c>
      <c r="C43" t="s">
        <v>61</v>
      </c>
      <c r="D43" t="s">
        <v>9</v>
      </c>
      <c r="E43" t="s">
        <v>1</v>
      </c>
      <c r="F43" t="s">
        <v>36</v>
      </c>
      <c r="G43" t="s">
        <v>21</v>
      </c>
      <c r="H43" s="2" t="s">
        <v>204</v>
      </c>
      <c r="I43" t="s">
        <v>131</v>
      </c>
      <c r="J43" t="s">
        <v>75</v>
      </c>
      <c r="K43" t="s">
        <v>81</v>
      </c>
      <c r="L43" t="s">
        <v>131</v>
      </c>
      <c r="N43">
        <v>0</v>
      </c>
      <c r="O43" s="1">
        <v>46037.435879629629</v>
      </c>
      <c r="P43" t="s">
        <v>82</v>
      </c>
      <c r="Q43" t="s">
        <v>69</v>
      </c>
      <c r="R43" t="s">
        <v>125</v>
      </c>
    </row>
    <row r="44" spans="1:18" ht="15" customHeight="1">
      <c r="A44" t="s">
        <v>205</v>
      </c>
      <c r="B44" s="1">
        <v>46031.482199074075</v>
      </c>
      <c r="C44" t="s">
        <v>61</v>
      </c>
      <c r="D44" t="s">
        <v>9</v>
      </c>
      <c r="E44" t="s">
        <v>63</v>
      </c>
      <c r="H44" s="2" t="s">
        <v>206</v>
      </c>
      <c r="I44" t="s">
        <v>207</v>
      </c>
      <c r="J44" t="s">
        <v>75</v>
      </c>
      <c r="K44" t="s">
        <v>76</v>
      </c>
      <c r="L44" t="s">
        <v>207</v>
      </c>
      <c r="N44">
        <v>1</v>
      </c>
      <c r="O44" s="1">
        <v>46031.484953703701</v>
      </c>
      <c r="Q44" t="s">
        <v>69</v>
      </c>
      <c r="R44" t="s">
        <v>105</v>
      </c>
    </row>
    <row r="45" spans="1:18" ht="15" customHeight="1">
      <c r="A45" t="s">
        <v>208</v>
      </c>
      <c r="B45" s="1">
        <v>46031.630590277775</v>
      </c>
      <c r="C45" t="s">
        <v>61</v>
      </c>
      <c r="D45" t="s">
        <v>9</v>
      </c>
      <c r="E45" t="s">
        <v>1</v>
      </c>
      <c r="F45" t="s">
        <v>41</v>
      </c>
      <c r="G45" t="s">
        <v>12</v>
      </c>
      <c r="H45" s="2" t="s">
        <v>209</v>
      </c>
      <c r="I45" t="s">
        <v>210</v>
      </c>
      <c r="J45" t="s">
        <v>75</v>
      </c>
      <c r="K45" t="s">
        <v>76</v>
      </c>
      <c r="L45" t="s">
        <v>210</v>
      </c>
      <c r="N45">
        <v>0</v>
      </c>
      <c r="O45" s="1">
        <v>46036.302569444444</v>
      </c>
      <c r="P45" t="s">
        <v>97</v>
      </c>
      <c r="Q45" t="s">
        <v>211</v>
      </c>
      <c r="R45" t="s">
        <v>210</v>
      </c>
    </row>
    <row r="46" spans="1:18" ht="15" customHeight="1">
      <c r="A46" t="s">
        <v>212</v>
      </c>
      <c r="B46" s="1">
        <v>46031.718831018516</v>
      </c>
      <c r="C46" t="s">
        <v>165</v>
      </c>
      <c r="D46" t="s">
        <v>9</v>
      </c>
      <c r="E46" t="s">
        <v>1</v>
      </c>
      <c r="F46" t="s">
        <v>26</v>
      </c>
      <c r="G46" t="s">
        <v>10</v>
      </c>
      <c r="H46" s="2" t="s">
        <v>213</v>
      </c>
      <c r="I46" t="s">
        <v>214</v>
      </c>
      <c r="J46" t="s">
        <v>75</v>
      </c>
      <c r="K46" t="s">
        <v>81</v>
      </c>
      <c r="L46" t="s">
        <v>214</v>
      </c>
      <c r="N46">
        <v>0</v>
      </c>
      <c r="P46" t="s">
        <v>82</v>
      </c>
      <c r="R46" t="s">
        <v>87</v>
      </c>
    </row>
    <row r="47" spans="1:18" ht="15" customHeight="1">
      <c r="A47" t="s">
        <v>215</v>
      </c>
      <c r="B47" s="1">
        <v>46034.411736111113</v>
      </c>
      <c r="C47" t="s">
        <v>184</v>
      </c>
      <c r="D47" t="s">
        <v>9</v>
      </c>
      <c r="E47" t="s">
        <v>1</v>
      </c>
      <c r="F47" t="s">
        <v>27</v>
      </c>
      <c r="G47" t="s">
        <v>19</v>
      </c>
      <c r="H47" s="2" t="s">
        <v>216</v>
      </c>
      <c r="I47" t="s">
        <v>179</v>
      </c>
      <c r="J47" t="s">
        <v>75</v>
      </c>
      <c r="K47" t="s">
        <v>81</v>
      </c>
      <c r="L47" t="s">
        <v>179</v>
      </c>
      <c r="N47">
        <v>0</v>
      </c>
      <c r="P47" t="s">
        <v>97</v>
      </c>
      <c r="R47" t="s">
        <v>125</v>
      </c>
    </row>
    <row r="48" spans="1:18" ht="15" customHeight="1">
      <c r="A48" t="s">
        <v>217</v>
      </c>
      <c r="B48" s="1">
        <v>46034.418912037036</v>
      </c>
      <c r="C48" t="s">
        <v>61</v>
      </c>
      <c r="D48" t="s">
        <v>9</v>
      </c>
      <c r="E48" t="s">
        <v>1</v>
      </c>
      <c r="F48" t="s">
        <v>35</v>
      </c>
      <c r="G48" t="s">
        <v>19</v>
      </c>
      <c r="H48" t="s">
        <v>218</v>
      </c>
      <c r="I48" t="s">
        <v>219</v>
      </c>
      <c r="J48" t="s">
        <v>75</v>
      </c>
      <c r="K48" t="s">
        <v>81</v>
      </c>
      <c r="L48" t="s">
        <v>219</v>
      </c>
      <c r="N48">
        <v>0</v>
      </c>
      <c r="O48" s="1">
        <v>46050.318692129629</v>
      </c>
      <c r="P48" t="s">
        <v>97</v>
      </c>
      <c r="Q48" t="s">
        <v>117</v>
      </c>
      <c r="R48" t="s">
        <v>87</v>
      </c>
    </row>
    <row r="49" spans="1:18" ht="15" customHeight="1">
      <c r="A49" t="s">
        <v>220</v>
      </c>
      <c r="B49" s="1">
        <v>46034.454479166663</v>
      </c>
      <c r="C49" t="s">
        <v>61</v>
      </c>
      <c r="D49" t="s">
        <v>9</v>
      </c>
      <c r="E49" t="s">
        <v>63</v>
      </c>
      <c r="H49" t="s">
        <v>171</v>
      </c>
      <c r="I49" t="s">
        <v>221</v>
      </c>
      <c r="J49" t="s">
        <v>75</v>
      </c>
      <c r="K49" t="s">
        <v>76</v>
      </c>
      <c r="L49" t="s">
        <v>221</v>
      </c>
      <c r="N49">
        <v>1</v>
      </c>
      <c r="O49" s="1">
        <v>46034.455254629633</v>
      </c>
      <c r="Q49" t="s">
        <v>69</v>
      </c>
      <c r="R49" t="s">
        <v>83</v>
      </c>
    </row>
    <row r="50" spans="1:18" ht="15" customHeight="1">
      <c r="A50" t="s">
        <v>222</v>
      </c>
      <c r="B50" s="1">
        <v>46034.463067129633</v>
      </c>
      <c r="C50" t="s">
        <v>61</v>
      </c>
      <c r="D50" t="s">
        <v>9</v>
      </c>
      <c r="E50" t="s">
        <v>63</v>
      </c>
      <c r="H50" s="2" t="s">
        <v>223</v>
      </c>
      <c r="I50" t="s">
        <v>224</v>
      </c>
      <c r="J50" t="s">
        <v>75</v>
      </c>
      <c r="K50" t="s">
        <v>76</v>
      </c>
      <c r="L50" t="s">
        <v>224</v>
      </c>
      <c r="N50">
        <v>1</v>
      </c>
      <c r="O50" s="1">
        <v>46034.463842592595</v>
      </c>
      <c r="Q50" t="s">
        <v>69</v>
      </c>
      <c r="R50" t="s">
        <v>105</v>
      </c>
    </row>
    <row r="51" spans="1:18" ht="15" customHeight="1">
      <c r="A51" t="s">
        <v>225</v>
      </c>
      <c r="B51" s="1">
        <v>46034.657071759262</v>
      </c>
      <c r="C51" t="s">
        <v>61</v>
      </c>
      <c r="D51" t="s">
        <v>9</v>
      </c>
      <c r="E51" t="s">
        <v>63</v>
      </c>
      <c r="H51" t="s">
        <v>171</v>
      </c>
      <c r="I51" t="s">
        <v>226</v>
      </c>
      <c r="J51" t="s">
        <v>75</v>
      </c>
      <c r="K51" t="s">
        <v>76</v>
      </c>
      <c r="L51" t="s">
        <v>226</v>
      </c>
      <c r="N51">
        <v>1</v>
      </c>
      <c r="O51" s="1">
        <v>46034.658599537041</v>
      </c>
      <c r="Q51" t="s">
        <v>69</v>
      </c>
      <c r="R51" t="s">
        <v>77</v>
      </c>
    </row>
    <row r="52" spans="1:18" ht="15" customHeight="1">
      <c r="A52" t="s">
        <v>227</v>
      </c>
      <c r="B52" s="1">
        <v>46034.675370370373</v>
      </c>
      <c r="C52" t="s">
        <v>61</v>
      </c>
      <c r="D52" t="s">
        <v>9</v>
      </c>
      <c r="E52" t="s">
        <v>1</v>
      </c>
      <c r="F52" t="s">
        <v>37</v>
      </c>
      <c r="G52" t="s">
        <v>21</v>
      </c>
      <c r="H52" s="2" t="s">
        <v>228</v>
      </c>
      <c r="I52" t="s">
        <v>229</v>
      </c>
      <c r="J52" t="s">
        <v>75</v>
      </c>
      <c r="K52" t="s">
        <v>81</v>
      </c>
      <c r="L52" t="s">
        <v>229</v>
      </c>
      <c r="N52">
        <v>0</v>
      </c>
      <c r="O52" s="1">
        <v>46036.404340277775</v>
      </c>
      <c r="P52" t="s">
        <v>82</v>
      </c>
      <c r="Q52" t="s">
        <v>211</v>
      </c>
      <c r="R52" t="s">
        <v>125</v>
      </c>
    </row>
    <row r="53" spans="1:18" ht="15" customHeight="1">
      <c r="A53" t="s">
        <v>230</v>
      </c>
      <c r="B53" s="1">
        <v>46034.71261574074</v>
      </c>
      <c r="C53" t="s">
        <v>61</v>
      </c>
      <c r="D53" t="s">
        <v>9</v>
      </c>
      <c r="E53" t="s">
        <v>1</v>
      </c>
      <c r="F53" t="s">
        <v>35</v>
      </c>
      <c r="G53" t="s">
        <v>14</v>
      </c>
      <c r="H53" s="2" t="s">
        <v>231</v>
      </c>
      <c r="I53" t="s">
        <v>232</v>
      </c>
      <c r="J53" t="s">
        <v>75</v>
      </c>
      <c r="K53" t="s">
        <v>81</v>
      </c>
      <c r="L53" t="s">
        <v>232</v>
      </c>
      <c r="N53">
        <v>0</v>
      </c>
      <c r="O53" s="1">
        <v>46036.302905092591</v>
      </c>
      <c r="P53" t="s">
        <v>97</v>
      </c>
      <c r="Q53" t="s">
        <v>69</v>
      </c>
      <c r="R53" t="s">
        <v>92</v>
      </c>
    </row>
    <row r="54" spans="1:18" ht="15" customHeight="1">
      <c r="A54" t="s">
        <v>233</v>
      </c>
      <c r="B54" s="1">
        <v>46034.72079861111</v>
      </c>
      <c r="C54" t="s">
        <v>61</v>
      </c>
      <c r="D54" t="s">
        <v>9</v>
      </c>
      <c r="E54" t="s">
        <v>1</v>
      </c>
      <c r="F54" t="s">
        <v>36</v>
      </c>
      <c r="G54" t="s">
        <v>11</v>
      </c>
      <c r="H54" s="2" t="s">
        <v>234</v>
      </c>
      <c r="I54" t="s">
        <v>113</v>
      </c>
      <c r="J54" t="s">
        <v>75</v>
      </c>
      <c r="K54" t="s">
        <v>81</v>
      </c>
      <c r="L54" t="s">
        <v>113</v>
      </c>
      <c r="N54">
        <v>0</v>
      </c>
      <c r="O54" s="1">
        <v>46036.624178240738</v>
      </c>
      <c r="P54" t="s">
        <v>82</v>
      </c>
      <c r="Q54" t="s">
        <v>117</v>
      </c>
      <c r="R54" t="s">
        <v>125</v>
      </c>
    </row>
    <row r="55" spans="1:18" ht="15" customHeight="1">
      <c r="A55" t="s">
        <v>235</v>
      </c>
      <c r="B55" s="1">
        <v>46035.33734953704</v>
      </c>
      <c r="C55" t="s">
        <v>61</v>
      </c>
      <c r="D55" t="s">
        <v>9</v>
      </c>
      <c r="E55" t="s">
        <v>1</v>
      </c>
      <c r="F55" t="s">
        <v>15</v>
      </c>
      <c r="G55" t="s">
        <v>15</v>
      </c>
      <c r="H55" s="2" t="s">
        <v>236</v>
      </c>
      <c r="I55" t="s">
        <v>237</v>
      </c>
      <c r="J55" t="s">
        <v>75</v>
      </c>
      <c r="K55" t="s">
        <v>76</v>
      </c>
      <c r="L55" t="s">
        <v>237</v>
      </c>
      <c r="N55">
        <v>0</v>
      </c>
      <c r="O55" s="1">
        <v>46052.650983796295</v>
      </c>
      <c r="P55" t="s">
        <v>82</v>
      </c>
      <c r="Q55" t="s">
        <v>69</v>
      </c>
      <c r="R55" t="s">
        <v>118</v>
      </c>
    </row>
    <row r="56" spans="1:18" ht="15" customHeight="1">
      <c r="A56" t="s">
        <v>238</v>
      </c>
      <c r="B56" s="1">
        <v>46035.342627314814</v>
      </c>
      <c r="C56" t="s">
        <v>61</v>
      </c>
      <c r="D56" t="s">
        <v>9</v>
      </c>
      <c r="E56" t="s">
        <v>1</v>
      </c>
      <c r="F56" t="s">
        <v>15</v>
      </c>
      <c r="G56" t="s">
        <v>15</v>
      </c>
      <c r="H56" s="2" t="s">
        <v>239</v>
      </c>
      <c r="I56" t="s">
        <v>237</v>
      </c>
      <c r="J56" t="s">
        <v>75</v>
      </c>
      <c r="K56" t="s">
        <v>76</v>
      </c>
      <c r="L56" t="s">
        <v>237</v>
      </c>
      <c r="N56">
        <v>0</v>
      </c>
      <c r="O56" s="1">
        <v>46037.366053240738</v>
      </c>
      <c r="P56" t="s">
        <v>82</v>
      </c>
      <c r="Q56" t="s">
        <v>69</v>
      </c>
      <c r="R56" t="s">
        <v>118</v>
      </c>
    </row>
    <row r="57" spans="1:18" ht="15" customHeight="1">
      <c r="A57" t="s">
        <v>240</v>
      </c>
      <c r="B57" s="1">
        <v>46035.345833333333</v>
      </c>
      <c r="C57" t="s">
        <v>61</v>
      </c>
      <c r="D57" t="s">
        <v>9</v>
      </c>
      <c r="E57" t="s">
        <v>1</v>
      </c>
      <c r="F57" t="s">
        <v>15</v>
      </c>
      <c r="G57" t="s">
        <v>15</v>
      </c>
      <c r="H57" s="2" t="s">
        <v>241</v>
      </c>
      <c r="I57" t="s">
        <v>237</v>
      </c>
      <c r="J57" t="s">
        <v>75</v>
      </c>
      <c r="K57" t="s">
        <v>76</v>
      </c>
      <c r="L57" t="s">
        <v>237</v>
      </c>
      <c r="N57">
        <v>0</v>
      </c>
      <c r="O57" s="1">
        <v>46035.482581018521</v>
      </c>
      <c r="P57" t="s">
        <v>82</v>
      </c>
      <c r="Q57" t="s">
        <v>69</v>
      </c>
      <c r="R57" t="s">
        <v>118</v>
      </c>
    </row>
    <row r="58" spans="1:18" ht="15" customHeight="1">
      <c r="A58" t="s">
        <v>242</v>
      </c>
      <c r="B58" s="1">
        <v>46035.348263888889</v>
      </c>
      <c r="C58" t="s">
        <v>61</v>
      </c>
      <c r="D58" t="s">
        <v>9</v>
      </c>
      <c r="E58" t="s">
        <v>1</v>
      </c>
      <c r="F58" t="s">
        <v>15</v>
      </c>
      <c r="G58" t="s">
        <v>15</v>
      </c>
      <c r="H58" s="2" t="s">
        <v>243</v>
      </c>
      <c r="I58" t="s">
        <v>237</v>
      </c>
      <c r="J58" t="s">
        <v>75</v>
      </c>
      <c r="K58" t="s">
        <v>76</v>
      </c>
      <c r="L58" t="s">
        <v>237</v>
      </c>
      <c r="N58">
        <v>0</v>
      </c>
      <c r="O58" s="1">
        <v>46036.377650462964</v>
      </c>
      <c r="P58" t="s">
        <v>82</v>
      </c>
      <c r="R58" t="s">
        <v>118</v>
      </c>
    </row>
    <row r="59" spans="1:18" ht="15" customHeight="1">
      <c r="A59" t="s">
        <v>244</v>
      </c>
      <c r="B59" s="1">
        <v>46035.350023148145</v>
      </c>
      <c r="C59" t="s">
        <v>61</v>
      </c>
      <c r="D59" t="s">
        <v>9</v>
      </c>
      <c r="E59" t="s">
        <v>1</v>
      </c>
      <c r="F59" t="s">
        <v>15</v>
      </c>
      <c r="G59" t="s">
        <v>15</v>
      </c>
      <c r="H59" s="2" t="s">
        <v>245</v>
      </c>
      <c r="I59" t="s">
        <v>237</v>
      </c>
      <c r="J59" t="s">
        <v>75</v>
      </c>
      <c r="K59" t="s">
        <v>76</v>
      </c>
      <c r="L59" t="s">
        <v>237</v>
      </c>
      <c r="N59">
        <v>0</v>
      </c>
      <c r="O59" s="1">
        <v>46035.485092592593</v>
      </c>
      <c r="P59" t="s">
        <v>82</v>
      </c>
      <c r="Q59" t="s">
        <v>69</v>
      </c>
      <c r="R59" t="s">
        <v>118</v>
      </c>
    </row>
    <row r="60" spans="1:18" ht="15" customHeight="1">
      <c r="A60" t="s">
        <v>246</v>
      </c>
      <c r="B60" s="1">
        <v>46035.356956018521</v>
      </c>
      <c r="C60" t="s">
        <v>61</v>
      </c>
      <c r="D60" t="s">
        <v>9</v>
      </c>
      <c r="E60" t="s">
        <v>1</v>
      </c>
      <c r="F60" t="s">
        <v>15</v>
      </c>
      <c r="G60" t="s">
        <v>15</v>
      </c>
      <c r="H60" s="2" t="s">
        <v>247</v>
      </c>
      <c r="I60" t="s">
        <v>237</v>
      </c>
      <c r="J60" t="s">
        <v>75</v>
      </c>
      <c r="K60" t="s">
        <v>76</v>
      </c>
      <c r="L60" t="s">
        <v>237</v>
      </c>
      <c r="N60">
        <v>0</v>
      </c>
      <c r="O60" s="1">
        <v>46057.41170138889</v>
      </c>
      <c r="P60" t="s">
        <v>97</v>
      </c>
      <c r="Q60" t="s">
        <v>69</v>
      </c>
      <c r="R60" t="s">
        <v>118</v>
      </c>
    </row>
    <row r="61" spans="1:18" ht="15" customHeight="1">
      <c r="A61" t="s">
        <v>248</v>
      </c>
      <c r="B61" s="1">
        <v>46035.361145833333</v>
      </c>
      <c r="C61" t="s">
        <v>165</v>
      </c>
      <c r="D61" t="s">
        <v>9</v>
      </c>
      <c r="E61" t="s">
        <v>1</v>
      </c>
      <c r="F61" t="s">
        <v>15</v>
      </c>
      <c r="G61" t="s">
        <v>15</v>
      </c>
      <c r="H61" s="2" t="s">
        <v>249</v>
      </c>
      <c r="I61" t="s">
        <v>237</v>
      </c>
      <c r="J61" t="s">
        <v>75</v>
      </c>
      <c r="K61" t="s">
        <v>76</v>
      </c>
      <c r="L61" t="s">
        <v>237</v>
      </c>
      <c r="N61">
        <v>0</v>
      </c>
      <c r="P61" t="s">
        <v>82</v>
      </c>
      <c r="R61" t="s">
        <v>118</v>
      </c>
    </row>
    <row r="62" spans="1:18" ht="15" customHeight="1">
      <c r="A62" t="s">
        <v>250</v>
      </c>
      <c r="B62" s="1">
        <v>46035.407500000001</v>
      </c>
      <c r="C62" t="s">
        <v>61</v>
      </c>
      <c r="D62" t="s">
        <v>9</v>
      </c>
      <c r="E62" t="s">
        <v>63</v>
      </c>
      <c r="H62" s="2" t="s">
        <v>251</v>
      </c>
      <c r="I62" t="s">
        <v>202</v>
      </c>
      <c r="J62" t="s">
        <v>75</v>
      </c>
      <c r="K62" t="s">
        <v>76</v>
      </c>
      <c r="L62" t="s">
        <v>202</v>
      </c>
      <c r="N62">
        <v>1</v>
      </c>
      <c r="O62" s="1">
        <v>46035.411793981482</v>
      </c>
      <c r="Q62" t="s">
        <v>69</v>
      </c>
      <c r="R62" t="s">
        <v>105</v>
      </c>
    </row>
    <row r="63" spans="1:18" ht="15" customHeight="1">
      <c r="A63" t="s">
        <v>252</v>
      </c>
      <c r="B63" s="1">
        <v>46035.420347222222</v>
      </c>
      <c r="C63" t="s">
        <v>61</v>
      </c>
      <c r="D63" t="s">
        <v>9</v>
      </c>
      <c r="E63" t="s">
        <v>63</v>
      </c>
      <c r="H63" t="s">
        <v>253</v>
      </c>
      <c r="I63" t="s">
        <v>113</v>
      </c>
      <c r="J63" t="s">
        <v>75</v>
      </c>
      <c r="K63" t="s">
        <v>76</v>
      </c>
      <c r="L63" t="s">
        <v>113</v>
      </c>
      <c r="N63">
        <v>1</v>
      </c>
      <c r="O63" s="1">
        <v>46035.425578703704</v>
      </c>
      <c r="Q63" t="s">
        <v>69</v>
      </c>
      <c r="R63" t="s">
        <v>92</v>
      </c>
    </row>
    <row r="64" spans="1:18" ht="15" customHeight="1">
      <c r="A64" t="s">
        <v>254</v>
      </c>
      <c r="B64" s="1">
        <v>46035.481574074074</v>
      </c>
      <c r="C64" t="s">
        <v>61</v>
      </c>
      <c r="D64" t="s">
        <v>9</v>
      </c>
      <c r="E64" t="s">
        <v>63</v>
      </c>
      <c r="H64" s="2" t="s">
        <v>255</v>
      </c>
      <c r="I64" t="s">
        <v>256</v>
      </c>
      <c r="J64" t="s">
        <v>75</v>
      </c>
      <c r="K64" t="s">
        <v>76</v>
      </c>
      <c r="L64" t="s">
        <v>256</v>
      </c>
      <c r="N64">
        <v>0</v>
      </c>
      <c r="O64" s="1">
        <v>46035.508564814816</v>
      </c>
      <c r="P64" t="s">
        <v>91</v>
      </c>
      <c r="Q64" t="s">
        <v>69</v>
      </c>
      <c r="R64" t="s">
        <v>92</v>
      </c>
    </row>
    <row r="65" spans="1:18" ht="15" customHeight="1">
      <c r="A65" t="s">
        <v>257</v>
      </c>
      <c r="B65" s="1">
        <v>46035.525509259256</v>
      </c>
      <c r="C65" t="s">
        <v>61</v>
      </c>
      <c r="D65" t="s">
        <v>9</v>
      </c>
      <c r="E65" t="s">
        <v>1</v>
      </c>
      <c r="F65" t="s">
        <v>35</v>
      </c>
      <c r="G65" t="s">
        <v>14</v>
      </c>
      <c r="H65" t="s">
        <v>258</v>
      </c>
      <c r="I65" t="s">
        <v>259</v>
      </c>
      <c r="J65" t="s">
        <v>75</v>
      </c>
      <c r="K65" t="s">
        <v>81</v>
      </c>
      <c r="L65" t="s">
        <v>259</v>
      </c>
      <c r="N65">
        <v>0</v>
      </c>
      <c r="O65" s="1">
        <v>46043.311145833337</v>
      </c>
      <c r="P65" t="s">
        <v>97</v>
      </c>
      <c r="Q65" t="s">
        <v>69</v>
      </c>
      <c r="R65" t="s">
        <v>83</v>
      </c>
    </row>
    <row r="66" spans="1:18" ht="15" customHeight="1">
      <c r="A66" t="s">
        <v>260</v>
      </c>
      <c r="B66" s="1">
        <v>46035.547233796293</v>
      </c>
      <c r="C66" t="s">
        <v>61</v>
      </c>
      <c r="D66" t="s">
        <v>9</v>
      </c>
      <c r="E66" t="s">
        <v>63</v>
      </c>
      <c r="H66" t="s">
        <v>171</v>
      </c>
      <c r="I66" t="s">
        <v>86</v>
      </c>
      <c r="J66" t="s">
        <v>75</v>
      </c>
      <c r="K66" t="s">
        <v>76</v>
      </c>
      <c r="L66" t="s">
        <v>86</v>
      </c>
      <c r="N66">
        <v>1</v>
      </c>
      <c r="O66" s="1">
        <v>46035.548043981478</v>
      </c>
      <c r="Q66" t="s">
        <v>69</v>
      </c>
      <c r="R66" t="s">
        <v>77</v>
      </c>
    </row>
    <row r="67" spans="1:18" ht="15" customHeight="1">
      <c r="A67" t="s">
        <v>261</v>
      </c>
      <c r="B67" s="1">
        <v>46035.650439814817</v>
      </c>
      <c r="C67" t="s">
        <v>61</v>
      </c>
      <c r="D67" t="s">
        <v>9</v>
      </c>
      <c r="E67" t="s">
        <v>63</v>
      </c>
      <c r="H67" s="2" t="s">
        <v>262</v>
      </c>
      <c r="I67" t="s">
        <v>90</v>
      </c>
      <c r="J67" t="s">
        <v>75</v>
      </c>
      <c r="K67" t="s">
        <v>76</v>
      </c>
      <c r="L67" t="s">
        <v>90</v>
      </c>
      <c r="N67">
        <v>0</v>
      </c>
      <c r="O67" s="1">
        <v>46037.53979166667</v>
      </c>
      <c r="P67" t="s">
        <v>91</v>
      </c>
      <c r="Q67" t="s">
        <v>263</v>
      </c>
      <c r="R67" t="s">
        <v>110</v>
      </c>
    </row>
    <row r="68" spans="1:18" ht="15" customHeight="1">
      <c r="A68" t="s">
        <v>264</v>
      </c>
      <c r="B68" s="1">
        <v>46036.417384259257</v>
      </c>
      <c r="C68" t="s">
        <v>61</v>
      </c>
      <c r="D68" t="s">
        <v>9</v>
      </c>
      <c r="E68" t="s">
        <v>63</v>
      </c>
      <c r="H68" s="2" t="s">
        <v>265</v>
      </c>
      <c r="I68" t="s">
        <v>266</v>
      </c>
      <c r="J68" t="s">
        <v>75</v>
      </c>
      <c r="K68" t="s">
        <v>76</v>
      </c>
      <c r="L68" t="s">
        <v>266</v>
      </c>
      <c r="N68">
        <v>0</v>
      </c>
      <c r="O68" s="1">
        <v>46036.430381944447</v>
      </c>
      <c r="P68" t="s">
        <v>91</v>
      </c>
      <c r="Q68" t="s">
        <v>263</v>
      </c>
      <c r="R68" t="s">
        <v>77</v>
      </c>
    </row>
    <row r="69" spans="1:18" ht="15" customHeight="1">
      <c r="A69" t="s">
        <v>267</v>
      </c>
      <c r="B69" s="1">
        <v>46036.453136574077</v>
      </c>
      <c r="C69" t="s">
        <v>61</v>
      </c>
      <c r="D69" t="s">
        <v>9</v>
      </c>
      <c r="E69" t="s">
        <v>63</v>
      </c>
      <c r="H69" t="s">
        <v>268</v>
      </c>
      <c r="I69" t="s">
        <v>269</v>
      </c>
      <c r="J69" t="s">
        <v>75</v>
      </c>
      <c r="K69" t="s">
        <v>76</v>
      </c>
      <c r="L69" t="s">
        <v>269</v>
      </c>
      <c r="N69">
        <v>1</v>
      </c>
      <c r="O69" s="1">
        <v>46036.455474537041</v>
      </c>
      <c r="Q69" t="s">
        <v>69</v>
      </c>
      <c r="R69" t="s">
        <v>92</v>
      </c>
    </row>
    <row r="70" spans="1:18" ht="15" customHeight="1">
      <c r="A70" t="s">
        <v>270</v>
      </c>
      <c r="B70" s="1">
        <v>46036.477129629631</v>
      </c>
      <c r="C70" t="s">
        <v>61</v>
      </c>
      <c r="D70" t="s">
        <v>9</v>
      </c>
      <c r="E70" t="s">
        <v>1</v>
      </c>
      <c r="F70" t="s">
        <v>28</v>
      </c>
      <c r="G70" t="s">
        <v>10</v>
      </c>
      <c r="H70" s="2" t="s">
        <v>271</v>
      </c>
      <c r="I70" t="s">
        <v>167</v>
      </c>
      <c r="J70" t="s">
        <v>96</v>
      </c>
      <c r="K70" t="s">
        <v>76</v>
      </c>
      <c r="L70" t="s">
        <v>167</v>
      </c>
      <c r="N70">
        <v>0</v>
      </c>
      <c r="O70" s="1">
        <v>46071.320324074077</v>
      </c>
      <c r="P70" t="s">
        <v>97</v>
      </c>
      <c r="Q70" t="s">
        <v>98</v>
      </c>
      <c r="R70" t="s">
        <v>167</v>
      </c>
    </row>
    <row r="71" spans="1:18" ht="15" customHeight="1">
      <c r="A71" t="s">
        <v>272</v>
      </c>
      <c r="B71" s="1">
        <v>46036.533252314817</v>
      </c>
      <c r="C71" t="s">
        <v>61</v>
      </c>
      <c r="D71" t="s">
        <v>9</v>
      </c>
      <c r="E71" t="s">
        <v>1</v>
      </c>
      <c r="F71" t="s">
        <v>27</v>
      </c>
      <c r="G71" t="s">
        <v>14</v>
      </c>
      <c r="H71" t="s">
        <v>273</v>
      </c>
      <c r="I71" t="s">
        <v>226</v>
      </c>
      <c r="J71" t="s">
        <v>75</v>
      </c>
      <c r="K71" t="s">
        <v>81</v>
      </c>
      <c r="L71" t="s">
        <v>226</v>
      </c>
      <c r="N71">
        <v>0</v>
      </c>
      <c r="O71" s="1">
        <v>46043.311319444445</v>
      </c>
      <c r="P71" t="s">
        <v>97</v>
      </c>
      <c r="Q71" t="s">
        <v>69</v>
      </c>
      <c r="R71" t="s">
        <v>87</v>
      </c>
    </row>
    <row r="72" spans="1:18" ht="15" customHeight="1">
      <c r="A72" t="s">
        <v>274</v>
      </c>
      <c r="B72" s="1">
        <v>46036.603229166663</v>
      </c>
      <c r="C72" t="s">
        <v>61</v>
      </c>
      <c r="D72" t="s">
        <v>9</v>
      </c>
      <c r="E72" t="s">
        <v>1</v>
      </c>
      <c r="F72" t="s">
        <v>37</v>
      </c>
      <c r="G72" t="s">
        <v>11</v>
      </c>
      <c r="H72" t="s">
        <v>275</v>
      </c>
      <c r="I72" t="s">
        <v>202</v>
      </c>
      <c r="J72" t="s">
        <v>75</v>
      </c>
      <c r="K72" t="s">
        <v>81</v>
      </c>
      <c r="L72" t="s">
        <v>202</v>
      </c>
      <c r="N72">
        <v>0</v>
      </c>
      <c r="O72" s="1">
        <v>46037.407696759263</v>
      </c>
      <c r="P72" t="s">
        <v>82</v>
      </c>
      <c r="Q72" t="s">
        <v>276</v>
      </c>
      <c r="R72" t="s">
        <v>87</v>
      </c>
    </row>
    <row r="73" spans="1:18" ht="15" customHeight="1">
      <c r="A73" t="s">
        <v>277</v>
      </c>
      <c r="B73" s="1">
        <v>46036.621261574073</v>
      </c>
      <c r="C73" t="s">
        <v>61</v>
      </c>
      <c r="D73" t="s">
        <v>9</v>
      </c>
      <c r="E73" t="s">
        <v>1</v>
      </c>
      <c r="F73" t="s">
        <v>27</v>
      </c>
      <c r="G73" t="s">
        <v>14</v>
      </c>
      <c r="H73" t="s">
        <v>278</v>
      </c>
      <c r="I73" t="s">
        <v>175</v>
      </c>
      <c r="J73" t="s">
        <v>75</v>
      </c>
      <c r="K73" t="s">
        <v>81</v>
      </c>
      <c r="L73" t="s">
        <v>175</v>
      </c>
      <c r="N73">
        <v>0</v>
      </c>
      <c r="O73" s="1">
        <v>46050.318425925929</v>
      </c>
      <c r="P73" t="s">
        <v>97</v>
      </c>
      <c r="Q73" t="s">
        <v>69</v>
      </c>
      <c r="R73" t="s">
        <v>87</v>
      </c>
    </row>
    <row r="74" spans="1:18" ht="15" customHeight="1">
      <c r="A74" t="s">
        <v>279</v>
      </c>
      <c r="B74" s="1">
        <v>46036.625104166669</v>
      </c>
      <c r="C74" t="s">
        <v>61</v>
      </c>
      <c r="D74" t="s">
        <v>9</v>
      </c>
      <c r="E74" t="s">
        <v>1</v>
      </c>
      <c r="F74" t="s">
        <v>28</v>
      </c>
      <c r="G74" t="s">
        <v>11</v>
      </c>
      <c r="H74" t="s">
        <v>280</v>
      </c>
      <c r="I74" t="s">
        <v>281</v>
      </c>
      <c r="J74" t="s">
        <v>75</v>
      </c>
      <c r="K74" t="s">
        <v>81</v>
      </c>
      <c r="L74" t="s">
        <v>281</v>
      </c>
      <c r="N74">
        <v>0</v>
      </c>
      <c r="O74" s="1">
        <v>46036.758437500001</v>
      </c>
      <c r="P74" t="s">
        <v>82</v>
      </c>
      <c r="Q74" t="s">
        <v>69</v>
      </c>
      <c r="R74" t="s">
        <v>87</v>
      </c>
    </row>
    <row r="75" spans="1:18" ht="15" customHeight="1">
      <c r="A75" t="s">
        <v>282</v>
      </c>
      <c r="B75" s="1">
        <v>46036.633009259262</v>
      </c>
      <c r="C75" t="s">
        <v>61</v>
      </c>
      <c r="D75" t="s">
        <v>9</v>
      </c>
      <c r="E75" t="s">
        <v>63</v>
      </c>
      <c r="H75" s="2" t="s">
        <v>120</v>
      </c>
      <c r="I75" t="s">
        <v>172</v>
      </c>
      <c r="J75" t="s">
        <v>75</v>
      </c>
      <c r="K75" t="s">
        <v>76</v>
      </c>
      <c r="L75" t="s">
        <v>172</v>
      </c>
      <c r="N75">
        <v>1</v>
      </c>
      <c r="O75" s="1">
        <v>46036.633680555555</v>
      </c>
      <c r="Q75" t="s">
        <v>69</v>
      </c>
      <c r="R75" t="s">
        <v>105</v>
      </c>
    </row>
    <row r="76" spans="1:18" ht="15" customHeight="1">
      <c r="A76" t="s">
        <v>283</v>
      </c>
      <c r="B76" s="1">
        <v>46036.666539351849</v>
      </c>
      <c r="C76" t="s">
        <v>61</v>
      </c>
      <c r="D76" t="s">
        <v>9</v>
      </c>
      <c r="E76" t="s">
        <v>63</v>
      </c>
      <c r="H76" s="2" t="s">
        <v>284</v>
      </c>
      <c r="I76" t="s">
        <v>226</v>
      </c>
      <c r="J76" t="s">
        <v>75</v>
      </c>
      <c r="K76" t="s">
        <v>76</v>
      </c>
      <c r="L76" t="s">
        <v>226</v>
      </c>
      <c r="N76">
        <v>1</v>
      </c>
      <c r="O76" s="1">
        <v>46036.670393518521</v>
      </c>
      <c r="Q76" t="s">
        <v>69</v>
      </c>
      <c r="R76" t="s">
        <v>155</v>
      </c>
    </row>
    <row r="77" spans="1:18" ht="15" customHeight="1">
      <c r="A77" t="s">
        <v>285</v>
      </c>
      <c r="B77" s="1">
        <v>46036.706030092595</v>
      </c>
      <c r="C77" t="s">
        <v>184</v>
      </c>
      <c r="D77" t="s">
        <v>9</v>
      </c>
      <c r="E77" t="s">
        <v>1</v>
      </c>
      <c r="F77" t="s">
        <v>27</v>
      </c>
      <c r="G77" t="s">
        <v>19</v>
      </c>
      <c r="H77" t="s">
        <v>286</v>
      </c>
      <c r="I77" t="s">
        <v>172</v>
      </c>
      <c r="J77" t="s">
        <v>75</v>
      </c>
      <c r="K77" t="s">
        <v>81</v>
      </c>
      <c r="L77" t="s">
        <v>172</v>
      </c>
      <c r="N77">
        <v>0</v>
      </c>
      <c r="P77" t="s">
        <v>97</v>
      </c>
      <c r="R77" t="s">
        <v>87</v>
      </c>
    </row>
    <row r="78" spans="1:18" ht="15" customHeight="1">
      <c r="A78" t="s">
        <v>287</v>
      </c>
      <c r="B78" s="1">
        <v>46036.722824074073</v>
      </c>
      <c r="C78" t="s">
        <v>61</v>
      </c>
      <c r="D78" t="s">
        <v>9</v>
      </c>
      <c r="E78" t="s">
        <v>63</v>
      </c>
      <c r="H78" t="s">
        <v>288</v>
      </c>
      <c r="I78" t="s">
        <v>289</v>
      </c>
      <c r="J78" t="s">
        <v>75</v>
      </c>
      <c r="K78" t="s">
        <v>76</v>
      </c>
      <c r="L78" t="s">
        <v>289</v>
      </c>
      <c r="N78">
        <v>1</v>
      </c>
      <c r="O78" s="1">
        <v>46036.726435185185</v>
      </c>
      <c r="Q78" t="s">
        <v>147</v>
      </c>
      <c r="R78" t="s">
        <v>83</v>
      </c>
    </row>
    <row r="79" spans="1:18" ht="15" customHeight="1">
      <c r="A79" t="s">
        <v>290</v>
      </c>
      <c r="B79" s="1">
        <v>46036.744675925926</v>
      </c>
      <c r="C79" t="s">
        <v>61</v>
      </c>
      <c r="D79" t="s">
        <v>9</v>
      </c>
      <c r="E79" t="s">
        <v>1</v>
      </c>
      <c r="F79" t="s">
        <v>38</v>
      </c>
      <c r="G79" t="s">
        <v>14</v>
      </c>
      <c r="H79" t="s">
        <v>291</v>
      </c>
      <c r="I79" t="s">
        <v>292</v>
      </c>
      <c r="J79" t="s">
        <v>75</v>
      </c>
      <c r="K79" t="s">
        <v>81</v>
      </c>
      <c r="L79" t="s">
        <v>292</v>
      </c>
      <c r="N79">
        <v>0</v>
      </c>
      <c r="O79" s="1">
        <v>46036.773761574077</v>
      </c>
      <c r="P79" t="s">
        <v>82</v>
      </c>
      <c r="Q79" t="s">
        <v>69</v>
      </c>
      <c r="R79" t="s">
        <v>87</v>
      </c>
    </row>
    <row r="80" spans="1:18" ht="15" customHeight="1">
      <c r="A80" t="s">
        <v>293</v>
      </c>
      <c r="B80" s="1">
        <v>46036.751840277779</v>
      </c>
      <c r="C80" t="s">
        <v>294</v>
      </c>
      <c r="D80" t="s">
        <v>9</v>
      </c>
      <c r="E80" t="s">
        <v>1</v>
      </c>
      <c r="F80" t="s">
        <v>35</v>
      </c>
      <c r="G80" t="s">
        <v>19</v>
      </c>
      <c r="H80" s="2" t="s">
        <v>295</v>
      </c>
      <c r="I80" t="s">
        <v>296</v>
      </c>
      <c r="J80" t="s">
        <v>75</v>
      </c>
      <c r="K80" t="s">
        <v>81</v>
      </c>
      <c r="L80" t="s">
        <v>296</v>
      </c>
      <c r="N80">
        <v>0</v>
      </c>
      <c r="P80" t="s">
        <v>97</v>
      </c>
      <c r="Q80" t="s">
        <v>98</v>
      </c>
      <c r="R80" t="s">
        <v>87</v>
      </c>
    </row>
    <row r="81" spans="1:18" ht="15" customHeight="1">
      <c r="A81" t="s">
        <v>297</v>
      </c>
      <c r="B81" s="1">
        <v>46037.385925925926</v>
      </c>
      <c r="C81" t="s">
        <v>61</v>
      </c>
      <c r="D81" t="s">
        <v>9</v>
      </c>
      <c r="E81" t="s">
        <v>63</v>
      </c>
      <c r="H81" s="2" t="s">
        <v>298</v>
      </c>
      <c r="I81" t="s">
        <v>299</v>
      </c>
      <c r="J81" t="s">
        <v>75</v>
      </c>
      <c r="K81" t="s">
        <v>76</v>
      </c>
      <c r="L81" t="s">
        <v>299</v>
      </c>
      <c r="N81">
        <v>0</v>
      </c>
      <c r="O81" s="1">
        <v>46038.401284722226</v>
      </c>
      <c r="P81" t="s">
        <v>91</v>
      </c>
      <c r="Q81" t="s">
        <v>263</v>
      </c>
      <c r="R81" t="s">
        <v>125</v>
      </c>
    </row>
    <row r="82" spans="1:18" ht="15" customHeight="1">
      <c r="A82" t="s">
        <v>300</v>
      </c>
      <c r="B82" s="1">
        <v>46037.390405092592</v>
      </c>
      <c r="C82" t="s">
        <v>61</v>
      </c>
      <c r="D82" t="s">
        <v>9</v>
      </c>
      <c r="E82" t="s">
        <v>63</v>
      </c>
      <c r="H82" s="2" t="s">
        <v>301</v>
      </c>
      <c r="I82" t="s">
        <v>302</v>
      </c>
      <c r="J82" t="s">
        <v>75</v>
      </c>
      <c r="K82" t="s">
        <v>76</v>
      </c>
      <c r="L82" t="s">
        <v>302</v>
      </c>
      <c r="N82">
        <v>0</v>
      </c>
      <c r="O82" s="1">
        <v>46038.430868055555</v>
      </c>
      <c r="P82" t="s">
        <v>91</v>
      </c>
      <c r="Q82" t="s">
        <v>263</v>
      </c>
      <c r="R82" t="s">
        <v>77</v>
      </c>
    </row>
    <row r="83" spans="1:18" ht="15" customHeight="1">
      <c r="A83" t="s">
        <v>303</v>
      </c>
      <c r="B83" s="1">
        <v>46037.399884259263</v>
      </c>
      <c r="C83" t="s">
        <v>61</v>
      </c>
      <c r="D83" t="s">
        <v>9</v>
      </c>
      <c r="E83" t="s">
        <v>63</v>
      </c>
      <c r="H83" s="2" t="s">
        <v>304</v>
      </c>
      <c r="I83" t="s">
        <v>305</v>
      </c>
      <c r="J83" t="s">
        <v>75</v>
      </c>
      <c r="K83" t="s">
        <v>76</v>
      </c>
      <c r="L83" t="s">
        <v>305</v>
      </c>
      <c r="N83">
        <v>1</v>
      </c>
      <c r="O83" s="1">
        <v>46037.401446759257</v>
      </c>
      <c r="Q83" t="s">
        <v>69</v>
      </c>
      <c r="R83" t="s">
        <v>77</v>
      </c>
    </row>
    <row r="84" spans="1:18" ht="15" customHeight="1">
      <c r="A84" t="s">
        <v>306</v>
      </c>
      <c r="B84" s="1">
        <v>46037.469571759262</v>
      </c>
      <c r="C84" t="s">
        <v>61</v>
      </c>
      <c r="D84" t="s">
        <v>9</v>
      </c>
      <c r="E84" t="s">
        <v>63</v>
      </c>
      <c r="H84" s="2" t="s">
        <v>284</v>
      </c>
      <c r="I84" t="s">
        <v>86</v>
      </c>
      <c r="J84" t="s">
        <v>75</v>
      </c>
      <c r="K84" t="s">
        <v>76</v>
      </c>
      <c r="L84" t="s">
        <v>86</v>
      </c>
      <c r="N84">
        <v>1</v>
      </c>
      <c r="O84" s="1">
        <v>46037.472222222219</v>
      </c>
      <c r="Q84" t="s">
        <v>141</v>
      </c>
      <c r="R84" t="s">
        <v>155</v>
      </c>
    </row>
    <row r="85" spans="1:18" ht="15" customHeight="1">
      <c r="A85" t="s">
        <v>307</v>
      </c>
      <c r="B85" s="1">
        <v>46037.56962962963</v>
      </c>
      <c r="C85" t="s">
        <v>61</v>
      </c>
      <c r="D85" t="s">
        <v>9</v>
      </c>
      <c r="E85" t="s">
        <v>1</v>
      </c>
      <c r="F85" t="s">
        <v>34</v>
      </c>
      <c r="G85" t="s">
        <v>11</v>
      </c>
      <c r="H85" s="2" t="s">
        <v>308</v>
      </c>
      <c r="I85" t="s">
        <v>309</v>
      </c>
      <c r="J85" t="s">
        <v>75</v>
      </c>
      <c r="K85" t="s">
        <v>81</v>
      </c>
      <c r="L85" t="s">
        <v>309</v>
      </c>
      <c r="N85">
        <v>0</v>
      </c>
      <c r="O85" s="1">
        <v>46057.414837962962</v>
      </c>
      <c r="P85" t="s">
        <v>97</v>
      </c>
      <c r="Q85" t="s">
        <v>69</v>
      </c>
      <c r="R85" t="s">
        <v>125</v>
      </c>
    </row>
    <row r="86" spans="1:18" ht="15" customHeight="1">
      <c r="A86" t="s">
        <v>310</v>
      </c>
      <c r="B86" s="1">
        <v>46037.608958333331</v>
      </c>
      <c r="C86" t="s">
        <v>61</v>
      </c>
      <c r="D86" t="s">
        <v>9</v>
      </c>
      <c r="E86" t="s">
        <v>1</v>
      </c>
      <c r="F86" t="s">
        <v>37</v>
      </c>
      <c r="G86" t="s">
        <v>21</v>
      </c>
      <c r="H86" s="2" t="s">
        <v>311</v>
      </c>
      <c r="I86" t="s">
        <v>202</v>
      </c>
      <c r="J86" t="s">
        <v>75</v>
      </c>
      <c r="K86" t="s">
        <v>81</v>
      </c>
      <c r="L86" t="s">
        <v>202</v>
      </c>
      <c r="N86">
        <v>0</v>
      </c>
      <c r="O86" s="1">
        <v>46064.715011574073</v>
      </c>
      <c r="P86" t="s">
        <v>82</v>
      </c>
      <c r="Q86" t="s">
        <v>69</v>
      </c>
      <c r="R86" t="s">
        <v>125</v>
      </c>
    </row>
    <row r="87" spans="1:18" ht="15" customHeight="1">
      <c r="A87" t="s">
        <v>312</v>
      </c>
      <c r="B87" s="1">
        <v>46037.623923611114</v>
      </c>
      <c r="C87" t="s">
        <v>184</v>
      </c>
      <c r="D87" t="s">
        <v>9</v>
      </c>
      <c r="E87" t="s">
        <v>1</v>
      </c>
      <c r="F87" t="s">
        <v>35</v>
      </c>
      <c r="G87" t="s">
        <v>14</v>
      </c>
      <c r="H87" s="2" t="s">
        <v>313</v>
      </c>
      <c r="I87" t="s">
        <v>232</v>
      </c>
      <c r="J87" t="s">
        <v>75</v>
      </c>
      <c r="K87" t="s">
        <v>81</v>
      </c>
      <c r="L87" t="s">
        <v>232</v>
      </c>
      <c r="N87">
        <v>0</v>
      </c>
      <c r="P87" t="s">
        <v>97</v>
      </c>
      <c r="R87" t="s">
        <v>155</v>
      </c>
    </row>
    <row r="88" spans="1:18" ht="15" customHeight="1">
      <c r="A88" t="s">
        <v>314</v>
      </c>
      <c r="B88" s="1">
        <v>46037.643125000002</v>
      </c>
      <c r="C88" t="s">
        <v>61</v>
      </c>
      <c r="D88" t="s">
        <v>9</v>
      </c>
      <c r="E88" t="s">
        <v>1</v>
      </c>
      <c r="F88" t="s">
        <v>33</v>
      </c>
      <c r="G88" t="s">
        <v>19</v>
      </c>
      <c r="H88" s="2" t="s">
        <v>315</v>
      </c>
      <c r="I88" t="s">
        <v>316</v>
      </c>
      <c r="J88" t="s">
        <v>75</v>
      </c>
      <c r="K88" t="s">
        <v>81</v>
      </c>
      <c r="L88" t="s">
        <v>316</v>
      </c>
      <c r="N88">
        <v>0</v>
      </c>
      <c r="O88" s="1">
        <v>46050.320439814815</v>
      </c>
      <c r="P88" t="s">
        <v>97</v>
      </c>
      <c r="Q88" t="s">
        <v>98</v>
      </c>
      <c r="R88" t="s">
        <v>77</v>
      </c>
    </row>
    <row r="89" spans="1:18" ht="15" customHeight="1">
      <c r="A89" t="s">
        <v>317</v>
      </c>
      <c r="B89" s="1">
        <v>46037.644606481481</v>
      </c>
      <c r="C89" t="s">
        <v>61</v>
      </c>
      <c r="D89" t="s">
        <v>9</v>
      </c>
      <c r="E89" t="s">
        <v>1</v>
      </c>
      <c r="F89" t="s">
        <v>26</v>
      </c>
      <c r="G89" t="s">
        <v>19</v>
      </c>
      <c r="H89" s="2" t="s">
        <v>318</v>
      </c>
      <c r="I89" t="s">
        <v>214</v>
      </c>
      <c r="J89" t="s">
        <v>75</v>
      </c>
      <c r="K89" t="s">
        <v>81</v>
      </c>
      <c r="L89" t="s">
        <v>214</v>
      </c>
      <c r="N89">
        <v>0</v>
      </c>
      <c r="O89" s="1">
        <v>46050.319722222222</v>
      </c>
      <c r="P89" t="s">
        <v>97</v>
      </c>
      <c r="Q89" t="s">
        <v>211</v>
      </c>
      <c r="R89" t="s">
        <v>87</v>
      </c>
    </row>
    <row r="90" spans="1:18" ht="15" customHeight="1">
      <c r="A90" t="s">
        <v>319</v>
      </c>
      <c r="B90" s="1">
        <v>46037.647743055553</v>
      </c>
      <c r="C90" t="s">
        <v>61</v>
      </c>
      <c r="D90" t="s">
        <v>9</v>
      </c>
      <c r="E90" t="s">
        <v>1</v>
      </c>
      <c r="F90" t="s">
        <v>27</v>
      </c>
      <c r="G90" t="s">
        <v>14</v>
      </c>
      <c r="H90" t="s">
        <v>320</v>
      </c>
      <c r="I90" t="s">
        <v>172</v>
      </c>
      <c r="J90" t="s">
        <v>75</v>
      </c>
      <c r="K90" t="s">
        <v>81</v>
      </c>
      <c r="L90" t="s">
        <v>172</v>
      </c>
      <c r="N90">
        <v>0</v>
      </c>
      <c r="O90" s="1">
        <v>46043.311516203707</v>
      </c>
      <c r="P90" t="s">
        <v>97</v>
      </c>
      <c r="Q90" t="s">
        <v>69</v>
      </c>
      <c r="R90" t="s">
        <v>92</v>
      </c>
    </row>
    <row r="91" spans="1:18" ht="15" customHeight="1">
      <c r="A91" t="s">
        <v>321</v>
      </c>
      <c r="B91" s="1">
        <v>46037.648240740738</v>
      </c>
      <c r="C91" t="s">
        <v>61</v>
      </c>
      <c r="D91" t="s">
        <v>9</v>
      </c>
      <c r="E91" t="s">
        <v>1</v>
      </c>
      <c r="F91" t="s">
        <v>33</v>
      </c>
      <c r="G91" t="s">
        <v>19</v>
      </c>
      <c r="H91" s="2" t="s">
        <v>322</v>
      </c>
      <c r="I91" t="s">
        <v>316</v>
      </c>
      <c r="J91" t="s">
        <v>75</v>
      </c>
      <c r="K91" t="s">
        <v>81</v>
      </c>
      <c r="L91" t="s">
        <v>316</v>
      </c>
      <c r="M91" t="s">
        <v>317</v>
      </c>
      <c r="N91">
        <v>0</v>
      </c>
      <c r="O91" s="1">
        <v>46050.319722222222</v>
      </c>
      <c r="P91" t="s">
        <v>82</v>
      </c>
      <c r="Q91" t="s">
        <v>211</v>
      </c>
      <c r="R91" t="s">
        <v>77</v>
      </c>
    </row>
    <row r="92" spans="1:18" ht="15" customHeight="1">
      <c r="A92" t="s">
        <v>323</v>
      </c>
      <c r="B92" s="1">
        <v>46037.736111111109</v>
      </c>
      <c r="C92" t="s">
        <v>61</v>
      </c>
      <c r="D92" t="s">
        <v>9</v>
      </c>
      <c r="E92" t="s">
        <v>63</v>
      </c>
      <c r="H92" t="s">
        <v>324</v>
      </c>
      <c r="I92" t="s">
        <v>325</v>
      </c>
      <c r="J92" t="s">
        <v>75</v>
      </c>
      <c r="K92" t="s">
        <v>76</v>
      </c>
      <c r="L92" t="s">
        <v>325</v>
      </c>
      <c r="N92">
        <v>1</v>
      </c>
      <c r="O92" s="1">
        <v>46037.738287037035</v>
      </c>
      <c r="Q92" t="s">
        <v>147</v>
      </c>
      <c r="R92" t="s">
        <v>92</v>
      </c>
    </row>
    <row r="93" spans="1:18" ht="15" customHeight="1">
      <c r="A93" t="s">
        <v>326</v>
      </c>
      <c r="B93" s="1">
        <v>46038.389618055553</v>
      </c>
      <c r="C93" t="s">
        <v>61</v>
      </c>
      <c r="D93" t="s">
        <v>327</v>
      </c>
      <c r="E93" t="s">
        <v>63</v>
      </c>
      <c r="H93" s="2" t="s">
        <v>328</v>
      </c>
      <c r="I93" t="s">
        <v>329</v>
      </c>
      <c r="J93" t="s">
        <v>66</v>
      </c>
      <c r="K93" t="s">
        <v>76</v>
      </c>
      <c r="L93" t="s">
        <v>329</v>
      </c>
      <c r="N93">
        <v>0</v>
      </c>
      <c r="O93" s="1">
        <v>46038.459317129629</v>
      </c>
      <c r="P93" t="s">
        <v>330</v>
      </c>
      <c r="Q93" t="s">
        <v>331</v>
      </c>
      <c r="R93" t="s">
        <v>329</v>
      </c>
    </row>
    <row r="94" spans="1:18" ht="15" customHeight="1">
      <c r="A94" t="s">
        <v>332</v>
      </c>
      <c r="B94" s="1">
        <v>46038.432696759257</v>
      </c>
      <c r="C94" t="s">
        <v>61</v>
      </c>
      <c r="D94" t="s">
        <v>9</v>
      </c>
      <c r="E94" t="s">
        <v>1</v>
      </c>
      <c r="F94" t="s">
        <v>35</v>
      </c>
      <c r="G94" t="s">
        <v>11</v>
      </c>
      <c r="H94" s="2" t="s">
        <v>333</v>
      </c>
      <c r="I94" t="s">
        <v>334</v>
      </c>
      <c r="J94" t="s">
        <v>75</v>
      </c>
      <c r="K94" t="s">
        <v>81</v>
      </c>
      <c r="L94" t="s">
        <v>334</v>
      </c>
      <c r="N94">
        <v>0</v>
      </c>
      <c r="O94" s="1">
        <v>46038.673229166663</v>
      </c>
      <c r="P94" t="s">
        <v>82</v>
      </c>
      <c r="Q94" t="s">
        <v>69</v>
      </c>
      <c r="R94" t="s">
        <v>125</v>
      </c>
    </row>
    <row r="95" spans="1:18" ht="15" customHeight="1">
      <c r="A95" t="s">
        <v>335</v>
      </c>
      <c r="B95" s="1">
        <v>46038.437268518515</v>
      </c>
      <c r="C95" t="s">
        <v>61</v>
      </c>
      <c r="D95" t="s">
        <v>9</v>
      </c>
      <c r="E95" t="s">
        <v>1</v>
      </c>
      <c r="F95" t="s">
        <v>36</v>
      </c>
      <c r="G95" t="s">
        <v>11</v>
      </c>
      <c r="H95" s="2" t="s">
        <v>336</v>
      </c>
      <c r="I95" t="s">
        <v>337</v>
      </c>
      <c r="J95" t="s">
        <v>75</v>
      </c>
      <c r="K95" t="s">
        <v>81</v>
      </c>
      <c r="L95" t="s">
        <v>337</v>
      </c>
      <c r="N95">
        <v>0</v>
      </c>
      <c r="O95" s="1">
        <v>46043.395243055558</v>
      </c>
      <c r="P95" t="s">
        <v>82</v>
      </c>
      <c r="Q95" t="s">
        <v>69</v>
      </c>
      <c r="R95" t="s">
        <v>125</v>
      </c>
    </row>
    <row r="96" spans="1:18" ht="15" customHeight="1">
      <c r="A96" t="s">
        <v>338</v>
      </c>
      <c r="B96" s="1">
        <v>46038.469953703701</v>
      </c>
      <c r="C96" t="s">
        <v>61</v>
      </c>
      <c r="D96" t="s">
        <v>9</v>
      </c>
      <c r="E96" t="s">
        <v>1</v>
      </c>
      <c r="F96" t="s">
        <v>37</v>
      </c>
      <c r="G96" t="s">
        <v>11</v>
      </c>
      <c r="H96" s="2" t="s">
        <v>339</v>
      </c>
      <c r="I96" t="s">
        <v>101</v>
      </c>
      <c r="J96" t="s">
        <v>75</v>
      </c>
      <c r="K96" t="s">
        <v>81</v>
      </c>
      <c r="L96" t="s">
        <v>101</v>
      </c>
      <c r="N96">
        <v>0</v>
      </c>
      <c r="O96" s="1">
        <v>46038.683275462965</v>
      </c>
      <c r="P96" t="s">
        <v>82</v>
      </c>
      <c r="Q96" t="s">
        <v>340</v>
      </c>
      <c r="R96" t="s">
        <v>125</v>
      </c>
    </row>
    <row r="97" spans="1:18" ht="15" customHeight="1">
      <c r="A97" t="s">
        <v>341</v>
      </c>
      <c r="B97" s="1">
        <v>46038.49560185185</v>
      </c>
      <c r="C97" t="s">
        <v>61</v>
      </c>
      <c r="D97" t="s">
        <v>9</v>
      </c>
      <c r="E97" t="s">
        <v>63</v>
      </c>
      <c r="H97" t="s">
        <v>342</v>
      </c>
      <c r="I97" t="s">
        <v>343</v>
      </c>
      <c r="J97" t="s">
        <v>75</v>
      </c>
      <c r="K97" t="s">
        <v>76</v>
      </c>
      <c r="L97" t="s">
        <v>343</v>
      </c>
      <c r="N97">
        <v>1</v>
      </c>
      <c r="O97" s="1">
        <v>46038.497384259259</v>
      </c>
      <c r="Q97" t="s">
        <v>147</v>
      </c>
      <c r="R97" t="s">
        <v>87</v>
      </c>
    </row>
    <row r="98" spans="1:18" ht="15" customHeight="1">
      <c r="A98" t="s">
        <v>344</v>
      </c>
      <c r="B98" s="1">
        <v>46038.534930555557</v>
      </c>
      <c r="C98" t="s">
        <v>61</v>
      </c>
      <c r="D98" t="s">
        <v>9</v>
      </c>
      <c r="E98" t="s">
        <v>1</v>
      </c>
      <c r="F98" t="s">
        <v>33</v>
      </c>
      <c r="G98" t="s">
        <v>11</v>
      </c>
      <c r="H98" t="s">
        <v>345</v>
      </c>
      <c r="I98" t="s">
        <v>316</v>
      </c>
      <c r="J98" t="s">
        <v>75</v>
      </c>
      <c r="K98" t="s">
        <v>81</v>
      </c>
      <c r="L98" t="s">
        <v>316</v>
      </c>
      <c r="N98">
        <v>0</v>
      </c>
      <c r="O98" s="1">
        <v>46043.74019675926</v>
      </c>
      <c r="P98" t="s">
        <v>82</v>
      </c>
      <c r="Q98" t="s">
        <v>340</v>
      </c>
      <c r="R98" t="s">
        <v>83</v>
      </c>
    </row>
    <row r="99" spans="1:18" ht="15" customHeight="1">
      <c r="A99" t="s">
        <v>346</v>
      </c>
      <c r="B99" s="1">
        <v>46038.536122685182</v>
      </c>
      <c r="C99" t="s">
        <v>61</v>
      </c>
      <c r="D99" t="s">
        <v>9</v>
      </c>
      <c r="E99" t="s">
        <v>1</v>
      </c>
      <c r="F99" t="s">
        <v>28</v>
      </c>
      <c r="G99" t="s">
        <v>21</v>
      </c>
      <c r="H99" t="s">
        <v>347</v>
      </c>
      <c r="I99" t="s">
        <v>150</v>
      </c>
      <c r="J99" t="s">
        <v>75</v>
      </c>
      <c r="K99" t="s">
        <v>81</v>
      </c>
      <c r="L99" t="s">
        <v>150</v>
      </c>
      <c r="N99">
        <v>0</v>
      </c>
      <c r="O99" s="1">
        <v>46041.400462962964</v>
      </c>
      <c r="P99" t="s">
        <v>82</v>
      </c>
      <c r="Q99" t="s">
        <v>211</v>
      </c>
      <c r="R99" t="s">
        <v>83</v>
      </c>
    </row>
    <row r="100" spans="1:18" ht="15" customHeight="1">
      <c r="A100" t="s">
        <v>348</v>
      </c>
      <c r="B100" s="1">
        <v>46038.567071759258</v>
      </c>
      <c r="C100" t="s">
        <v>61</v>
      </c>
      <c r="D100" t="s">
        <v>9</v>
      </c>
      <c r="E100" t="s">
        <v>63</v>
      </c>
      <c r="H100" s="2" t="s">
        <v>349</v>
      </c>
      <c r="I100" t="s">
        <v>350</v>
      </c>
      <c r="J100" t="s">
        <v>75</v>
      </c>
      <c r="K100" t="s">
        <v>76</v>
      </c>
      <c r="L100" t="s">
        <v>350</v>
      </c>
      <c r="N100">
        <v>1</v>
      </c>
      <c r="O100" s="1">
        <v>46038.568530092591</v>
      </c>
      <c r="Q100" t="s">
        <v>69</v>
      </c>
      <c r="R100" t="s">
        <v>105</v>
      </c>
    </row>
    <row r="101" spans="1:18" ht="15" customHeight="1">
      <c r="A101" t="s">
        <v>351</v>
      </c>
      <c r="B101" s="1">
        <v>46038.567395833335</v>
      </c>
      <c r="C101" t="s">
        <v>61</v>
      </c>
      <c r="D101" t="s">
        <v>9</v>
      </c>
      <c r="E101" t="s">
        <v>63</v>
      </c>
      <c r="H101" t="s">
        <v>352</v>
      </c>
      <c r="I101" t="s">
        <v>353</v>
      </c>
      <c r="J101" t="s">
        <v>75</v>
      </c>
      <c r="K101" t="s">
        <v>76</v>
      </c>
      <c r="L101" t="s">
        <v>353</v>
      </c>
      <c r="N101">
        <v>1</v>
      </c>
      <c r="O101" s="1">
        <v>46038.579942129632</v>
      </c>
      <c r="Q101" t="s">
        <v>69</v>
      </c>
      <c r="R101" t="s">
        <v>354</v>
      </c>
    </row>
    <row r="102" spans="1:18" ht="15" customHeight="1">
      <c r="A102" t="s">
        <v>355</v>
      </c>
      <c r="B102" s="1">
        <v>46038.643217592595</v>
      </c>
      <c r="C102" t="s">
        <v>165</v>
      </c>
      <c r="D102" t="s">
        <v>9</v>
      </c>
      <c r="E102" t="s">
        <v>1</v>
      </c>
      <c r="F102" t="s">
        <v>36</v>
      </c>
      <c r="G102" t="s">
        <v>21</v>
      </c>
      <c r="H102" s="2" t="s">
        <v>356</v>
      </c>
      <c r="I102" t="s">
        <v>128</v>
      </c>
      <c r="J102" t="s">
        <v>75</v>
      </c>
      <c r="K102" t="s">
        <v>81</v>
      </c>
      <c r="L102" t="s">
        <v>128</v>
      </c>
      <c r="N102">
        <v>0</v>
      </c>
      <c r="P102" t="s">
        <v>82</v>
      </c>
      <c r="R102" t="s">
        <v>77</v>
      </c>
    </row>
    <row r="103" spans="1:18" ht="15" customHeight="1">
      <c r="A103" t="s">
        <v>357</v>
      </c>
      <c r="B103" s="1">
        <v>46038.683263888888</v>
      </c>
      <c r="C103" t="s">
        <v>61</v>
      </c>
      <c r="D103" t="s">
        <v>9</v>
      </c>
      <c r="E103" t="s">
        <v>1</v>
      </c>
      <c r="F103" t="s">
        <v>36</v>
      </c>
      <c r="G103" t="s">
        <v>11</v>
      </c>
      <c r="H103" s="2" t="s">
        <v>358</v>
      </c>
      <c r="I103" t="s">
        <v>128</v>
      </c>
      <c r="J103" t="s">
        <v>75</v>
      </c>
      <c r="K103" t="s">
        <v>81</v>
      </c>
      <c r="L103" t="s">
        <v>128</v>
      </c>
      <c r="N103">
        <v>0</v>
      </c>
      <c r="O103" s="1">
        <v>46043.683668981481</v>
      </c>
      <c r="P103" t="s">
        <v>82</v>
      </c>
      <c r="Q103" t="s">
        <v>69</v>
      </c>
      <c r="R103" t="s">
        <v>77</v>
      </c>
    </row>
    <row r="104" spans="1:18" ht="15" customHeight="1">
      <c r="A104" t="s">
        <v>359</v>
      </c>
      <c r="B104" s="1">
        <v>46038.685057870367</v>
      </c>
      <c r="C104" t="s">
        <v>61</v>
      </c>
      <c r="D104" t="s">
        <v>9</v>
      </c>
      <c r="E104" t="s">
        <v>1</v>
      </c>
      <c r="F104" t="s">
        <v>36</v>
      </c>
      <c r="G104" t="s">
        <v>11</v>
      </c>
      <c r="H104" s="2" t="s">
        <v>360</v>
      </c>
      <c r="I104" t="s">
        <v>128</v>
      </c>
      <c r="J104" t="s">
        <v>75</v>
      </c>
      <c r="K104" t="s">
        <v>81</v>
      </c>
      <c r="L104" t="s">
        <v>128</v>
      </c>
      <c r="N104">
        <v>0</v>
      </c>
      <c r="O104" s="1">
        <v>46043.687615740739</v>
      </c>
      <c r="P104" t="s">
        <v>82</v>
      </c>
      <c r="Q104" t="s">
        <v>69</v>
      </c>
      <c r="R104" t="s">
        <v>77</v>
      </c>
    </row>
    <row r="105" spans="1:18" ht="15" customHeight="1">
      <c r="A105" t="s">
        <v>361</v>
      </c>
      <c r="B105" s="1">
        <v>46038.75267361111</v>
      </c>
      <c r="C105" t="s">
        <v>184</v>
      </c>
      <c r="D105" t="s">
        <v>9</v>
      </c>
      <c r="E105" t="s">
        <v>1</v>
      </c>
      <c r="F105" t="s">
        <v>13</v>
      </c>
      <c r="G105" t="s">
        <v>13</v>
      </c>
      <c r="H105" s="2" t="s">
        <v>362</v>
      </c>
      <c r="I105" t="s">
        <v>118</v>
      </c>
      <c r="J105" t="s">
        <v>75</v>
      </c>
      <c r="K105" t="s">
        <v>76</v>
      </c>
      <c r="L105" t="s">
        <v>118</v>
      </c>
      <c r="N105">
        <v>0</v>
      </c>
      <c r="P105" t="s">
        <v>97</v>
      </c>
      <c r="R105" t="s">
        <v>118</v>
      </c>
    </row>
    <row r="106" spans="1:18" ht="15" customHeight="1">
      <c r="A106" t="s">
        <v>363</v>
      </c>
      <c r="B106" s="1">
        <v>46041.344398148147</v>
      </c>
      <c r="C106" t="s">
        <v>61</v>
      </c>
      <c r="D106" t="s">
        <v>9</v>
      </c>
      <c r="E106" t="s">
        <v>1</v>
      </c>
      <c r="F106" t="s">
        <v>41</v>
      </c>
      <c r="G106" t="s">
        <v>17</v>
      </c>
      <c r="H106" s="2" t="s">
        <v>364</v>
      </c>
      <c r="I106" t="s">
        <v>118</v>
      </c>
      <c r="J106" t="s">
        <v>96</v>
      </c>
      <c r="K106" t="s">
        <v>76</v>
      </c>
      <c r="L106" t="s">
        <v>118</v>
      </c>
      <c r="N106">
        <v>0</v>
      </c>
      <c r="O106" s="1">
        <v>46043.302187499998</v>
      </c>
      <c r="P106" t="s">
        <v>97</v>
      </c>
      <c r="Q106" t="s">
        <v>98</v>
      </c>
      <c r="R106" t="s">
        <v>118</v>
      </c>
    </row>
    <row r="107" spans="1:18" ht="15" customHeight="1">
      <c r="A107" t="s">
        <v>365</v>
      </c>
      <c r="B107" s="1">
        <v>46041.346863425926</v>
      </c>
      <c r="C107" t="s">
        <v>184</v>
      </c>
      <c r="D107" t="s">
        <v>9</v>
      </c>
      <c r="E107" t="s">
        <v>1</v>
      </c>
      <c r="F107" t="s">
        <v>37</v>
      </c>
      <c r="G107" t="s">
        <v>17</v>
      </c>
      <c r="H107" s="2" t="s">
        <v>366</v>
      </c>
      <c r="I107" t="s">
        <v>118</v>
      </c>
      <c r="J107" t="s">
        <v>75</v>
      </c>
      <c r="K107" t="s">
        <v>76</v>
      </c>
      <c r="L107" t="s">
        <v>118</v>
      </c>
      <c r="N107">
        <v>0</v>
      </c>
      <c r="P107" t="s">
        <v>97</v>
      </c>
      <c r="Q107" t="s">
        <v>98</v>
      </c>
      <c r="R107" t="s">
        <v>118</v>
      </c>
    </row>
    <row r="108" spans="1:18" ht="15" customHeight="1">
      <c r="A108" t="s">
        <v>367</v>
      </c>
      <c r="B108" s="1">
        <v>46041.419131944444</v>
      </c>
      <c r="C108" t="s">
        <v>61</v>
      </c>
      <c r="D108" t="s">
        <v>9</v>
      </c>
      <c r="E108" t="s">
        <v>63</v>
      </c>
      <c r="H108" s="2" t="s">
        <v>368</v>
      </c>
      <c r="I108" t="s">
        <v>369</v>
      </c>
      <c r="J108" t="s">
        <v>75</v>
      </c>
      <c r="K108" t="s">
        <v>76</v>
      </c>
      <c r="L108" t="s">
        <v>369</v>
      </c>
      <c r="N108">
        <v>1</v>
      </c>
      <c r="O108" s="1">
        <v>46041.423622685186</v>
      </c>
      <c r="Q108" t="s">
        <v>147</v>
      </c>
      <c r="R108" t="s">
        <v>125</v>
      </c>
    </row>
    <row r="109" spans="1:18" ht="15" customHeight="1">
      <c r="A109" t="s">
        <v>370</v>
      </c>
      <c r="B109" s="1">
        <v>46041.417743055557</v>
      </c>
      <c r="C109" t="s">
        <v>61</v>
      </c>
      <c r="D109" t="s">
        <v>9</v>
      </c>
      <c r="E109" t="s">
        <v>63</v>
      </c>
      <c r="H109" t="s">
        <v>253</v>
      </c>
      <c r="I109" t="s">
        <v>371</v>
      </c>
      <c r="J109" t="s">
        <v>75</v>
      </c>
      <c r="K109" t="s">
        <v>76</v>
      </c>
      <c r="L109" t="s">
        <v>371</v>
      </c>
      <c r="N109">
        <v>1</v>
      </c>
      <c r="O109" s="1">
        <v>46041.4378125</v>
      </c>
      <c r="Q109" t="s">
        <v>69</v>
      </c>
      <c r="R109" t="s">
        <v>92</v>
      </c>
    </row>
    <row r="110" spans="1:18" ht="15" customHeight="1">
      <c r="A110" t="s">
        <v>372</v>
      </c>
      <c r="B110" s="1">
        <v>46041.445983796293</v>
      </c>
      <c r="C110" t="s">
        <v>61</v>
      </c>
      <c r="D110" t="s">
        <v>9</v>
      </c>
      <c r="E110" t="s">
        <v>63</v>
      </c>
      <c r="H110" t="s">
        <v>373</v>
      </c>
      <c r="I110" t="s">
        <v>374</v>
      </c>
      <c r="J110" t="s">
        <v>75</v>
      </c>
      <c r="K110" t="s">
        <v>76</v>
      </c>
      <c r="L110" t="s">
        <v>374</v>
      </c>
      <c r="N110">
        <v>1</v>
      </c>
      <c r="O110" s="1">
        <v>46041.452256944445</v>
      </c>
      <c r="Q110" t="s">
        <v>147</v>
      </c>
      <c r="R110" t="s">
        <v>87</v>
      </c>
    </row>
    <row r="111" spans="1:18" ht="15" customHeight="1">
      <c r="A111" t="s">
        <v>375</v>
      </c>
      <c r="B111" s="1">
        <v>46041.456828703704</v>
      </c>
      <c r="C111" t="s">
        <v>61</v>
      </c>
      <c r="D111" t="s">
        <v>9</v>
      </c>
      <c r="E111" t="s">
        <v>63</v>
      </c>
      <c r="H111" t="s">
        <v>139</v>
      </c>
      <c r="I111" t="s">
        <v>350</v>
      </c>
      <c r="J111" t="s">
        <v>75</v>
      </c>
      <c r="K111" t="s">
        <v>76</v>
      </c>
      <c r="L111" t="s">
        <v>350</v>
      </c>
      <c r="N111">
        <v>1</v>
      </c>
      <c r="O111" s="1">
        <v>46041.457719907405</v>
      </c>
      <c r="Q111" t="s">
        <v>141</v>
      </c>
      <c r="R111" t="s">
        <v>87</v>
      </c>
    </row>
    <row r="112" spans="1:18" ht="15" customHeight="1">
      <c r="A112" t="s">
        <v>376</v>
      </c>
      <c r="B112" s="1">
        <v>46041.475185185183</v>
      </c>
      <c r="C112" t="s">
        <v>61</v>
      </c>
      <c r="D112" t="s">
        <v>9</v>
      </c>
      <c r="E112" t="s">
        <v>1</v>
      </c>
      <c r="F112" t="s">
        <v>41</v>
      </c>
      <c r="G112" t="s">
        <v>17</v>
      </c>
      <c r="H112" s="2" t="s">
        <v>377</v>
      </c>
      <c r="I112" t="s">
        <v>210</v>
      </c>
      <c r="J112" t="s">
        <v>75</v>
      </c>
      <c r="K112" t="s">
        <v>76</v>
      </c>
      <c r="L112" t="s">
        <v>210</v>
      </c>
      <c r="N112">
        <v>0</v>
      </c>
      <c r="O112" s="1">
        <v>46042.311076388891</v>
      </c>
      <c r="P112" t="s">
        <v>97</v>
      </c>
      <c r="Q112" t="s">
        <v>98</v>
      </c>
      <c r="R112" t="s">
        <v>210</v>
      </c>
    </row>
    <row r="113" spans="1:18" ht="15" customHeight="1">
      <c r="A113" t="s">
        <v>378</v>
      </c>
      <c r="B113" s="1">
        <v>46041.488252314812</v>
      </c>
      <c r="C113" t="s">
        <v>184</v>
      </c>
      <c r="D113" t="s">
        <v>9</v>
      </c>
      <c r="E113" t="s">
        <v>1</v>
      </c>
      <c r="F113" t="s">
        <v>28</v>
      </c>
      <c r="G113" t="s">
        <v>10</v>
      </c>
      <c r="H113" s="2" t="s">
        <v>379</v>
      </c>
      <c r="I113" t="s">
        <v>80</v>
      </c>
      <c r="J113" t="s">
        <v>75</v>
      </c>
      <c r="K113" t="s">
        <v>81</v>
      </c>
      <c r="L113" t="s">
        <v>80</v>
      </c>
      <c r="N113">
        <v>0</v>
      </c>
      <c r="P113" t="s">
        <v>97</v>
      </c>
      <c r="R113" t="s">
        <v>151</v>
      </c>
    </row>
    <row r="114" spans="1:18" ht="15" customHeight="1">
      <c r="A114" t="s">
        <v>380</v>
      </c>
      <c r="B114" s="1">
        <v>46041.48909722222</v>
      </c>
      <c r="C114" t="s">
        <v>61</v>
      </c>
      <c r="D114" t="s">
        <v>9</v>
      </c>
      <c r="E114" t="s">
        <v>1</v>
      </c>
      <c r="F114" t="s">
        <v>28</v>
      </c>
      <c r="G114" t="s">
        <v>17</v>
      </c>
      <c r="H114" s="2" t="s">
        <v>381</v>
      </c>
      <c r="I114" t="s">
        <v>281</v>
      </c>
      <c r="J114" t="s">
        <v>75</v>
      </c>
      <c r="K114" t="s">
        <v>81</v>
      </c>
      <c r="L114" t="s">
        <v>281</v>
      </c>
      <c r="N114">
        <v>0</v>
      </c>
      <c r="O114" s="1">
        <v>46059.319166666668</v>
      </c>
      <c r="P114" t="s">
        <v>97</v>
      </c>
      <c r="Q114" t="s">
        <v>211</v>
      </c>
      <c r="R114" t="s">
        <v>151</v>
      </c>
    </row>
    <row r="115" spans="1:18" ht="15" customHeight="1">
      <c r="A115" t="s">
        <v>382</v>
      </c>
      <c r="B115" s="1">
        <v>46041.549525462964</v>
      </c>
      <c r="C115" t="s">
        <v>61</v>
      </c>
      <c r="D115" t="s">
        <v>9</v>
      </c>
      <c r="E115" t="s">
        <v>63</v>
      </c>
      <c r="H115" t="s">
        <v>139</v>
      </c>
      <c r="I115" t="s">
        <v>226</v>
      </c>
      <c r="J115" t="s">
        <v>75</v>
      </c>
      <c r="K115" t="s">
        <v>76</v>
      </c>
      <c r="L115" t="s">
        <v>226</v>
      </c>
      <c r="N115">
        <v>1</v>
      </c>
      <c r="O115" s="1">
        <v>46041.550243055557</v>
      </c>
      <c r="Q115" t="s">
        <v>141</v>
      </c>
      <c r="R115" t="s">
        <v>87</v>
      </c>
    </row>
    <row r="116" spans="1:18" ht="15" customHeight="1">
      <c r="A116" t="s">
        <v>383</v>
      </c>
      <c r="B116" s="1">
        <v>46041.620428240742</v>
      </c>
      <c r="C116" t="s">
        <v>61</v>
      </c>
      <c r="D116" t="s">
        <v>9</v>
      </c>
      <c r="E116" t="s">
        <v>63</v>
      </c>
      <c r="H116" s="2" t="s">
        <v>188</v>
      </c>
      <c r="I116" t="s">
        <v>175</v>
      </c>
      <c r="J116" t="s">
        <v>75</v>
      </c>
      <c r="K116" t="s">
        <v>76</v>
      </c>
      <c r="L116" t="s">
        <v>175</v>
      </c>
      <c r="N116">
        <v>1</v>
      </c>
      <c r="O116" s="1">
        <v>46041.622013888889</v>
      </c>
      <c r="Q116" t="s">
        <v>69</v>
      </c>
      <c r="R116" t="s">
        <v>110</v>
      </c>
    </row>
    <row r="117" spans="1:18" ht="15" customHeight="1">
      <c r="A117" t="s">
        <v>384</v>
      </c>
      <c r="B117" s="1">
        <v>46041.676064814812</v>
      </c>
      <c r="C117" t="s">
        <v>61</v>
      </c>
      <c r="D117" t="s">
        <v>9</v>
      </c>
      <c r="E117" t="s">
        <v>1</v>
      </c>
      <c r="F117" t="s">
        <v>28</v>
      </c>
      <c r="G117" t="s">
        <v>17</v>
      </c>
      <c r="H117" s="2" t="s">
        <v>385</v>
      </c>
      <c r="I117" t="s">
        <v>386</v>
      </c>
      <c r="J117" t="s">
        <v>96</v>
      </c>
      <c r="K117" t="s">
        <v>76</v>
      </c>
      <c r="L117" t="s">
        <v>386</v>
      </c>
      <c r="N117">
        <v>0</v>
      </c>
      <c r="O117" s="1">
        <v>46057.411006944443</v>
      </c>
      <c r="P117" t="s">
        <v>97</v>
      </c>
      <c r="Q117" t="s">
        <v>69</v>
      </c>
      <c r="R117" t="s">
        <v>118</v>
      </c>
    </row>
    <row r="118" spans="1:18" ht="15" customHeight="1">
      <c r="A118" t="s">
        <v>387</v>
      </c>
      <c r="B118" s="1">
        <v>46041.694525462961</v>
      </c>
      <c r="C118" t="s">
        <v>61</v>
      </c>
      <c r="D118" t="s">
        <v>9</v>
      </c>
      <c r="E118" t="s">
        <v>1</v>
      </c>
      <c r="F118" t="s">
        <v>29</v>
      </c>
      <c r="G118" t="s">
        <v>19</v>
      </c>
      <c r="H118" s="2" t="s">
        <v>388</v>
      </c>
      <c r="I118" t="s">
        <v>389</v>
      </c>
      <c r="J118" t="s">
        <v>75</v>
      </c>
      <c r="K118" t="s">
        <v>81</v>
      </c>
      <c r="L118" t="s">
        <v>389</v>
      </c>
      <c r="N118">
        <v>0</v>
      </c>
      <c r="O118" s="1">
        <v>46055.408229166664</v>
      </c>
      <c r="P118" t="s">
        <v>82</v>
      </c>
      <c r="Q118" t="s">
        <v>98</v>
      </c>
      <c r="R118" t="s">
        <v>125</v>
      </c>
    </row>
    <row r="119" spans="1:18" ht="15" customHeight="1">
      <c r="A119" t="s">
        <v>390</v>
      </c>
      <c r="B119" s="1">
        <v>46041.695902777778</v>
      </c>
      <c r="C119" t="s">
        <v>184</v>
      </c>
      <c r="D119" t="s">
        <v>9</v>
      </c>
      <c r="E119" t="s">
        <v>1</v>
      </c>
      <c r="F119" t="s">
        <v>29</v>
      </c>
      <c r="G119" t="s">
        <v>19</v>
      </c>
      <c r="H119" s="2" t="s">
        <v>391</v>
      </c>
      <c r="I119" t="s">
        <v>389</v>
      </c>
      <c r="J119" t="s">
        <v>75</v>
      </c>
      <c r="K119" t="s">
        <v>81</v>
      </c>
      <c r="L119" t="s">
        <v>389</v>
      </c>
      <c r="N119">
        <v>0</v>
      </c>
      <c r="P119" t="s">
        <v>97</v>
      </c>
      <c r="R119" t="s">
        <v>125</v>
      </c>
    </row>
    <row r="120" spans="1:18" ht="15" customHeight="1">
      <c r="A120" t="s">
        <v>392</v>
      </c>
      <c r="B120" s="1">
        <v>46041.744687500002</v>
      </c>
      <c r="C120" t="s">
        <v>393</v>
      </c>
      <c r="D120" t="s">
        <v>9</v>
      </c>
      <c r="E120" t="s">
        <v>1</v>
      </c>
      <c r="F120" t="s">
        <v>32</v>
      </c>
      <c r="G120" t="s">
        <v>11</v>
      </c>
      <c r="H120" s="2" t="s">
        <v>394</v>
      </c>
      <c r="I120" t="s">
        <v>395</v>
      </c>
      <c r="J120" t="s">
        <v>75</v>
      </c>
      <c r="K120" t="s">
        <v>81</v>
      </c>
      <c r="L120" t="s">
        <v>395</v>
      </c>
      <c r="N120">
        <v>0</v>
      </c>
      <c r="P120" t="s">
        <v>97</v>
      </c>
      <c r="R120" t="s">
        <v>125</v>
      </c>
    </row>
    <row r="121" spans="1:18" ht="15" customHeight="1">
      <c r="A121" t="s">
        <v>396</v>
      </c>
      <c r="B121" s="1">
        <v>46042.471643518518</v>
      </c>
      <c r="C121" t="s">
        <v>61</v>
      </c>
      <c r="D121" t="s">
        <v>9</v>
      </c>
      <c r="E121" t="s">
        <v>1</v>
      </c>
      <c r="F121" t="s">
        <v>37</v>
      </c>
      <c r="G121" t="s">
        <v>11</v>
      </c>
      <c r="H121" t="s">
        <v>397</v>
      </c>
      <c r="I121" t="s">
        <v>229</v>
      </c>
      <c r="J121" t="s">
        <v>75</v>
      </c>
      <c r="K121" t="s">
        <v>81</v>
      </c>
      <c r="L121" t="s">
        <v>229</v>
      </c>
      <c r="N121">
        <v>0</v>
      </c>
      <c r="O121" s="1">
        <v>46043.344247685185</v>
      </c>
      <c r="P121" t="s">
        <v>82</v>
      </c>
      <c r="Q121" t="s">
        <v>98</v>
      </c>
      <c r="R121" t="s">
        <v>83</v>
      </c>
    </row>
    <row r="122" spans="1:18" ht="15" customHeight="1">
      <c r="A122" t="s">
        <v>398</v>
      </c>
      <c r="B122" s="1">
        <v>46042.512372685182</v>
      </c>
      <c r="C122" t="s">
        <v>61</v>
      </c>
      <c r="D122" t="s">
        <v>9</v>
      </c>
      <c r="E122" t="s">
        <v>1</v>
      </c>
      <c r="F122" t="s">
        <v>36</v>
      </c>
      <c r="G122" t="s">
        <v>11</v>
      </c>
      <c r="H122" t="s">
        <v>399</v>
      </c>
      <c r="I122" t="s">
        <v>131</v>
      </c>
      <c r="J122" t="s">
        <v>75</v>
      </c>
      <c r="K122" t="s">
        <v>81</v>
      </c>
      <c r="L122" t="s">
        <v>131</v>
      </c>
      <c r="N122">
        <v>0</v>
      </c>
      <c r="O122" s="1">
        <v>46042.640046296299</v>
      </c>
      <c r="P122" t="s">
        <v>82</v>
      </c>
      <c r="Q122" t="s">
        <v>69</v>
      </c>
      <c r="R122" t="s">
        <v>83</v>
      </c>
    </row>
    <row r="123" spans="1:18" ht="15" customHeight="1">
      <c r="A123" t="s">
        <v>400</v>
      </c>
      <c r="B123" s="1">
        <v>46042.513645833336</v>
      </c>
      <c r="C123" t="s">
        <v>61</v>
      </c>
      <c r="D123" t="s">
        <v>401</v>
      </c>
      <c r="E123" t="s">
        <v>63</v>
      </c>
      <c r="H123" s="2" t="s">
        <v>402</v>
      </c>
      <c r="I123" t="s">
        <v>403</v>
      </c>
      <c r="J123" t="s">
        <v>66</v>
      </c>
      <c r="K123" t="s">
        <v>67</v>
      </c>
      <c r="L123" t="s">
        <v>403</v>
      </c>
      <c r="N123">
        <v>0</v>
      </c>
      <c r="O123" s="1">
        <v>46052.691331018519</v>
      </c>
      <c r="P123" t="s">
        <v>68</v>
      </c>
      <c r="Q123" t="s">
        <v>340</v>
      </c>
      <c r="R123" t="s">
        <v>403</v>
      </c>
    </row>
    <row r="124" spans="1:18" ht="15" customHeight="1">
      <c r="A124" t="s">
        <v>404</v>
      </c>
      <c r="B124" s="1">
        <v>46042.519016203703</v>
      </c>
      <c r="C124" t="s">
        <v>61</v>
      </c>
      <c r="D124" t="s">
        <v>9</v>
      </c>
      <c r="E124" t="s">
        <v>1</v>
      </c>
      <c r="F124" t="s">
        <v>40</v>
      </c>
      <c r="G124" t="s">
        <v>12</v>
      </c>
      <c r="H124" s="2" t="s">
        <v>405</v>
      </c>
      <c r="I124" t="s">
        <v>406</v>
      </c>
      <c r="J124" t="s">
        <v>75</v>
      </c>
      <c r="K124" t="s">
        <v>76</v>
      </c>
      <c r="L124" t="s">
        <v>406</v>
      </c>
      <c r="N124">
        <v>0</v>
      </c>
      <c r="O124" s="1">
        <v>46050.318993055553</v>
      </c>
      <c r="P124" t="s">
        <v>97</v>
      </c>
      <c r="Q124" t="s">
        <v>211</v>
      </c>
      <c r="R124" t="s">
        <v>118</v>
      </c>
    </row>
    <row r="125" spans="1:18" ht="15" customHeight="1">
      <c r="A125" t="s">
        <v>407</v>
      </c>
      <c r="B125" s="1">
        <v>46042.561157407406</v>
      </c>
      <c r="C125" t="s">
        <v>61</v>
      </c>
      <c r="D125" t="s">
        <v>9</v>
      </c>
      <c r="E125" t="s">
        <v>63</v>
      </c>
      <c r="H125" s="2" t="s">
        <v>408</v>
      </c>
      <c r="I125" t="s">
        <v>409</v>
      </c>
      <c r="J125" t="s">
        <v>75</v>
      </c>
      <c r="K125" t="s">
        <v>76</v>
      </c>
      <c r="L125" t="s">
        <v>409</v>
      </c>
      <c r="N125">
        <v>1</v>
      </c>
      <c r="O125" s="1">
        <v>46042.562789351854</v>
      </c>
      <c r="Q125" t="s">
        <v>69</v>
      </c>
      <c r="R125" t="s">
        <v>105</v>
      </c>
    </row>
    <row r="126" spans="1:18" ht="15" customHeight="1">
      <c r="A126" t="s">
        <v>410</v>
      </c>
      <c r="B126" s="1">
        <v>46042.555474537039</v>
      </c>
      <c r="C126" t="s">
        <v>61</v>
      </c>
      <c r="D126" t="s">
        <v>9</v>
      </c>
      <c r="E126" t="s">
        <v>63</v>
      </c>
      <c r="H126" t="s">
        <v>171</v>
      </c>
      <c r="I126" t="s">
        <v>411</v>
      </c>
      <c r="J126" t="s">
        <v>75</v>
      </c>
      <c r="K126" t="s">
        <v>76</v>
      </c>
      <c r="L126" t="s">
        <v>411</v>
      </c>
      <c r="N126">
        <v>1</v>
      </c>
      <c r="O126" s="1">
        <v>46042.563518518517</v>
      </c>
      <c r="Q126" t="s">
        <v>69</v>
      </c>
      <c r="R126" t="s">
        <v>92</v>
      </c>
    </row>
    <row r="127" spans="1:18" ht="15" customHeight="1">
      <c r="A127" t="s">
        <v>412</v>
      </c>
      <c r="B127" s="1">
        <v>46042.572465277779</v>
      </c>
      <c r="C127" t="s">
        <v>61</v>
      </c>
      <c r="D127" t="s">
        <v>9</v>
      </c>
      <c r="E127" t="s">
        <v>63</v>
      </c>
      <c r="H127" t="s">
        <v>171</v>
      </c>
      <c r="I127" t="s">
        <v>409</v>
      </c>
      <c r="J127" t="s">
        <v>75</v>
      </c>
      <c r="K127" t="s">
        <v>76</v>
      </c>
      <c r="L127" t="s">
        <v>409</v>
      </c>
      <c r="N127">
        <v>1</v>
      </c>
      <c r="O127" s="1">
        <v>46042.57366898148</v>
      </c>
      <c r="Q127" t="s">
        <v>69</v>
      </c>
      <c r="R127" t="s">
        <v>92</v>
      </c>
    </row>
    <row r="128" spans="1:18" ht="15" customHeight="1">
      <c r="A128" t="s">
        <v>413</v>
      </c>
      <c r="B128" s="1">
        <v>46042.594965277778</v>
      </c>
      <c r="C128" t="s">
        <v>61</v>
      </c>
      <c r="D128" t="s">
        <v>9</v>
      </c>
      <c r="E128" t="s">
        <v>1</v>
      </c>
      <c r="F128" t="s">
        <v>30</v>
      </c>
      <c r="G128" t="s">
        <v>11</v>
      </c>
      <c r="H128" s="2" t="s">
        <v>414</v>
      </c>
      <c r="I128" t="s">
        <v>186</v>
      </c>
      <c r="J128" t="s">
        <v>75</v>
      </c>
      <c r="K128" t="s">
        <v>81</v>
      </c>
      <c r="L128" t="s">
        <v>186</v>
      </c>
      <c r="N128">
        <v>0</v>
      </c>
      <c r="O128" s="1">
        <v>46059.596643518518</v>
      </c>
      <c r="P128" t="s">
        <v>82</v>
      </c>
      <c r="Q128" t="s">
        <v>69</v>
      </c>
      <c r="R128" t="s">
        <v>125</v>
      </c>
    </row>
    <row r="129" spans="1:18" ht="15" customHeight="1">
      <c r="A129" t="s">
        <v>415</v>
      </c>
      <c r="B129" s="1">
        <v>46042.602453703701</v>
      </c>
      <c r="C129" t="s">
        <v>61</v>
      </c>
      <c r="D129" t="s">
        <v>9</v>
      </c>
      <c r="E129" t="s">
        <v>63</v>
      </c>
      <c r="H129" t="s">
        <v>416</v>
      </c>
      <c r="I129" t="s">
        <v>411</v>
      </c>
      <c r="J129" t="s">
        <v>75</v>
      </c>
      <c r="K129" t="s">
        <v>76</v>
      </c>
      <c r="L129" t="s">
        <v>411</v>
      </c>
      <c r="N129">
        <v>1</v>
      </c>
      <c r="O129" s="1">
        <v>46042.614687499998</v>
      </c>
      <c r="Q129" t="s">
        <v>69</v>
      </c>
      <c r="R129" t="s">
        <v>354</v>
      </c>
    </row>
    <row r="130" spans="1:18" ht="15" customHeight="1">
      <c r="A130" t="s">
        <v>417</v>
      </c>
      <c r="B130" s="1">
        <v>46042.613194444442</v>
      </c>
      <c r="C130" t="s">
        <v>61</v>
      </c>
      <c r="D130" t="s">
        <v>9</v>
      </c>
      <c r="E130" t="s">
        <v>63</v>
      </c>
      <c r="H130" t="s">
        <v>139</v>
      </c>
      <c r="I130" t="s">
        <v>269</v>
      </c>
      <c r="J130" t="s">
        <v>75</v>
      </c>
      <c r="K130" t="s">
        <v>76</v>
      </c>
      <c r="L130" t="s">
        <v>269</v>
      </c>
      <c r="N130">
        <v>1</v>
      </c>
      <c r="O130" s="1">
        <v>46042.615069444444</v>
      </c>
      <c r="Q130" t="s">
        <v>418</v>
      </c>
      <c r="R130" t="s">
        <v>87</v>
      </c>
    </row>
    <row r="131" spans="1:18" ht="15" customHeight="1">
      <c r="A131" t="s">
        <v>419</v>
      </c>
      <c r="B131" s="1">
        <v>46042.616261574076</v>
      </c>
      <c r="C131" t="s">
        <v>61</v>
      </c>
      <c r="D131" t="s">
        <v>9</v>
      </c>
      <c r="E131" t="s">
        <v>63</v>
      </c>
      <c r="H131" t="s">
        <v>139</v>
      </c>
      <c r="I131" t="s">
        <v>420</v>
      </c>
      <c r="J131" t="s">
        <v>75</v>
      </c>
      <c r="K131" t="s">
        <v>76</v>
      </c>
      <c r="L131" t="s">
        <v>420</v>
      </c>
      <c r="N131">
        <v>1</v>
      </c>
      <c r="O131" s="1">
        <v>46042.616886574076</v>
      </c>
      <c r="Q131" t="s">
        <v>141</v>
      </c>
      <c r="R131" t="s">
        <v>87</v>
      </c>
    </row>
    <row r="132" spans="1:18" ht="15" customHeight="1">
      <c r="A132" t="s">
        <v>421</v>
      </c>
      <c r="B132" s="1">
        <v>46042.617337962962</v>
      </c>
      <c r="C132" t="s">
        <v>61</v>
      </c>
      <c r="D132" t="s">
        <v>9</v>
      </c>
      <c r="E132" t="s">
        <v>1</v>
      </c>
      <c r="F132" t="s">
        <v>28</v>
      </c>
      <c r="G132" t="s">
        <v>17</v>
      </c>
      <c r="H132" s="2" t="s">
        <v>422</v>
      </c>
      <c r="I132" t="s">
        <v>150</v>
      </c>
      <c r="J132" t="s">
        <v>96</v>
      </c>
      <c r="K132" t="s">
        <v>81</v>
      </c>
      <c r="L132" t="s">
        <v>150</v>
      </c>
      <c r="N132">
        <v>0</v>
      </c>
      <c r="O132" s="1">
        <v>46045.318391203706</v>
      </c>
      <c r="P132" t="s">
        <v>97</v>
      </c>
      <c r="Q132" t="s">
        <v>211</v>
      </c>
      <c r="R132" t="s">
        <v>151</v>
      </c>
    </row>
    <row r="133" spans="1:18" ht="15" customHeight="1">
      <c r="A133" t="s">
        <v>423</v>
      </c>
      <c r="B133" s="1">
        <v>46042.627523148149</v>
      </c>
      <c r="C133" t="s">
        <v>61</v>
      </c>
      <c r="D133" t="s">
        <v>9</v>
      </c>
      <c r="E133" t="s">
        <v>63</v>
      </c>
      <c r="H133" t="s">
        <v>139</v>
      </c>
      <c r="I133" t="s">
        <v>86</v>
      </c>
      <c r="J133" t="s">
        <v>75</v>
      </c>
      <c r="K133" t="s">
        <v>76</v>
      </c>
      <c r="L133" t="s">
        <v>86</v>
      </c>
      <c r="N133">
        <v>1</v>
      </c>
      <c r="O133" s="1">
        <v>46042.628842592596</v>
      </c>
      <c r="Q133" t="s">
        <v>141</v>
      </c>
      <c r="R133" t="s">
        <v>87</v>
      </c>
    </row>
    <row r="134" spans="1:18" ht="15" customHeight="1">
      <c r="A134" t="s">
        <v>424</v>
      </c>
      <c r="B134" s="1">
        <v>46042.628958333335</v>
      </c>
      <c r="C134" t="s">
        <v>425</v>
      </c>
      <c r="D134" t="s">
        <v>9</v>
      </c>
      <c r="E134" t="s">
        <v>1</v>
      </c>
      <c r="F134" t="s">
        <v>28</v>
      </c>
      <c r="G134" t="s">
        <v>10</v>
      </c>
      <c r="H134" s="2" t="s">
        <v>426</v>
      </c>
      <c r="I134" t="s">
        <v>427</v>
      </c>
      <c r="J134" t="s">
        <v>96</v>
      </c>
      <c r="K134" t="s">
        <v>81</v>
      </c>
      <c r="L134" t="s">
        <v>427</v>
      </c>
      <c r="N134">
        <v>0</v>
      </c>
      <c r="O134" s="1">
        <v>46064.318854166668</v>
      </c>
      <c r="P134" t="s">
        <v>97</v>
      </c>
      <c r="Q134" t="s">
        <v>98</v>
      </c>
      <c r="R134" t="s">
        <v>151</v>
      </c>
    </row>
    <row r="135" spans="1:18" ht="15" customHeight="1">
      <c r="A135" t="s">
        <v>428</v>
      </c>
      <c r="B135" s="1">
        <v>46042.660509259258</v>
      </c>
      <c r="C135" t="s">
        <v>294</v>
      </c>
      <c r="D135" t="s">
        <v>9</v>
      </c>
      <c r="E135" t="s">
        <v>1</v>
      </c>
      <c r="F135" t="s">
        <v>28</v>
      </c>
      <c r="G135" t="s">
        <v>17</v>
      </c>
      <c r="H135" s="2" t="s">
        <v>429</v>
      </c>
      <c r="I135" t="s">
        <v>150</v>
      </c>
      <c r="J135" t="s">
        <v>75</v>
      </c>
      <c r="K135" t="s">
        <v>81</v>
      </c>
      <c r="L135" t="s">
        <v>150</v>
      </c>
      <c r="N135">
        <v>0</v>
      </c>
      <c r="P135" t="s">
        <v>97</v>
      </c>
      <c r="R135" t="s">
        <v>151</v>
      </c>
    </row>
    <row r="136" spans="1:18" ht="15" customHeight="1">
      <c r="A136" t="s">
        <v>430</v>
      </c>
      <c r="B136" s="1">
        <v>46042.668437499997</v>
      </c>
      <c r="C136" t="s">
        <v>61</v>
      </c>
      <c r="D136" t="s">
        <v>9</v>
      </c>
      <c r="E136" t="s">
        <v>1</v>
      </c>
      <c r="F136" t="s">
        <v>37</v>
      </c>
      <c r="G136" t="s">
        <v>20</v>
      </c>
      <c r="H136" s="2" t="s">
        <v>431</v>
      </c>
      <c r="I136" t="s">
        <v>432</v>
      </c>
      <c r="J136" t="s">
        <v>75</v>
      </c>
      <c r="K136" t="s">
        <v>81</v>
      </c>
      <c r="L136" t="s">
        <v>432</v>
      </c>
      <c r="N136">
        <v>0</v>
      </c>
      <c r="O136" s="1">
        <v>46064.319895833331</v>
      </c>
      <c r="P136" t="s">
        <v>97</v>
      </c>
      <c r="Q136" t="s">
        <v>211</v>
      </c>
      <c r="R136" t="s">
        <v>151</v>
      </c>
    </row>
    <row r="137" spans="1:18" ht="15" customHeight="1">
      <c r="A137" t="s">
        <v>433</v>
      </c>
      <c r="B137" s="1">
        <v>46042.651192129626</v>
      </c>
      <c r="C137" t="s">
        <v>61</v>
      </c>
      <c r="D137" t="s">
        <v>9</v>
      </c>
      <c r="E137" t="s">
        <v>63</v>
      </c>
      <c r="H137" s="2" t="s">
        <v>434</v>
      </c>
      <c r="I137" t="s">
        <v>435</v>
      </c>
      <c r="J137" t="s">
        <v>75</v>
      </c>
      <c r="K137" t="s">
        <v>76</v>
      </c>
      <c r="L137" t="s">
        <v>435</v>
      </c>
      <c r="N137">
        <v>1</v>
      </c>
      <c r="O137" s="1">
        <v>46042.669895833336</v>
      </c>
      <c r="Q137" t="s">
        <v>69</v>
      </c>
      <c r="R137" t="s">
        <v>77</v>
      </c>
    </row>
    <row r="138" spans="1:18" ht="15" customHeight="1">
      <c r="A138" t="s">
        <v>436</v>
      </c>
      <c r="B138" s="1">
        <v>46042.675023148149</v>
      </c>
      <c r="C138" t="s">
        <v>61</v>
      </c>
      <c r="D138" t="s">
        <v>9</v>
      </c>
      <c r="E138" t="s">
        <v>1</v>
      </c>
      <c r="F138" t="s">
        <v>37</v>
      </c>
      <c r="G138" t="s">
        <v>21</v>
      </c>
      <c r="H138" s="2" t="s">
        <v>437</v>
      </c>
      <c r="I138" t="s">
        <v>196</v>
      </c>
      <c r="J138" t="s">
        <v>75</v>
      </c>
      <c r="K138" t="s">
        <v>81</v>
      </c>
      <c r="L138" t="s">
        <v>196</v>
      </c>
      <c r="N138">
        <v>0</v>
      </c>
      <c r="O138" s="1">
        <v>46042.75172453704</v>
      </c>
      <c r="P138" t="s">
        <v>82</v>
      </c>
      <c r="Q138" t="s">
        <v>69</v>
      </c>
      <c r="R138" t="s">
        <v>125</v>
      </c>
    </row>
    <row r="139" spans="1:18" ht="15" customHeight="1">
      <c r="A139" t="s">
        <v>438</v>
      </c>
      <c r="B139" s="1">
        <v>46042.730266203704</v>
      </c>
      <c r="C139" t="s">
        <v>61</v>
      </c>
      <c r="D139" t="s">
        <v>9</v>
      </c>
      <c r="E139" t="s">
        <v>1</v>
      </c>
      <c r="F139" t="s">
        <v>28</v>
      </c>
      <c r="G139" t="s">
        <v>21</v>
      </c>
      <c r="H139" s="2" t="s">
        <v>439</v>
      </c>
      <c r="I139" t="s">
        <v>427</v>
      </c>
      <c r="J139" t="s">
        <v>75</v>
      </c>
      <c r="K139" t="s">
        <v>81</v>
      </c>
      <c r="L139" t="s">
        <v>427</v>
      </c>
      <c r="N139">
        <v>0</v>
      </c>
      <c r="O139" s="1">
        <v>46043.484293981484</v>
      </c>
      <c r="P139" t="s">
        <v>82</v>
      </c>
      <c r="Q139" t="s">
        <v>69</v>
      </c>
      <c r="R139" t="s">
        <v>151</v>
      </c>
    </row>
    <row r="140" spans="1:18" ht="15" customHeight="1">
      <c r="A140" t="s">
        <v>440</v>
      </c>
      <c r="B140" s="1">
        <v>46043.340370370373</v>
      </c>
      <c r="C140" t="s">
        <v>61</v>
      </c>
      <c r="D140" t="s">
        <v>9</v>
      </c>
      <c r="E140" t="s">
        <v>1</v>
      </c>
      <c r="F140" t="s">
        <v>41</v>
      </c>
      <c r="G140" t="s">
        <v>17</v>
      </c>
      <c r="H140" s="2" t="s">
        <v>441</v>
      </c>
      <c r="I140" t="s">
        <v>118</v>
      </c>
      <c r="J140" t="s">
        <v>96</v>
      </c>
      <c r="K140" t="s">
        <v>76</v>
      </c>
      <c r="L140" t="s">
        <v>118</v>
      </c>
      <c r="N140">
        <v>0</v>
      </c>
      <c r="O140" s="1">
        <v>46059.317835648151</v>
      </c>
      <c r="P140" t="s">
        <v>97</v>
      </c>
      <c r="Q140" t="s">
        <v>69</v>
      </c>
      <c r="R140" t="s">
        <v>118</v>
      </c>
    </row>
    <row r="141" spans="1:18" ht="15" customHeight="1">
      <c r="A141" t="s">
        <v>442</v>
      </c>
      <c r="B141" s="1">
        <v>46043.386956018519</v>
      </c>
      <c r="C141" t="s">
        <v>61</v>
      </c>
      <c r="D141" t="s">
        <v>9</v>
      </c>
      <c r="E141" t="s">
        <v>63</v>
      </c>
      <c r="H141" s="2" t="s">
        <v>443</v>
      </c>
      <c r="I141" t="s">
        <v>444</v>
      </c>
      <c r="J141" t="s">
        <v>75</v>
      </c>
      <c r="K141" t="s">
        <v>76</v>
      </c>
      <c r="L141" t="s">
        <v>444</v>
      </c>
      <c r="N141">
        <v>1</v>
      </c>
      <c r="O141" s="1">
        <v>46043.387812499997</v>
      </c>
      <c r="Q141" t="s">
        <v>69</v>
      </c>
      <c r="R141" t="s">
        <v>105</v>
      </c>
    </row>
    <row r="142" spans="1:18" ht="15" customHeight="1">
      <c r="A142" t="s">
        <v>445</v>
      </c>
      <c r="B142" s="1">
        <v>46043.415833333333</v>
      </c>
      <c r="C142" t="s">
        <v>61</v>
      </c>
      <c r="D142" t="s">
        <v>9</v>
      </c>
      <c r="E142" t="s">
        <v>1</v>
      </c>
      <c r="F142" t="s">
        <v>36</v>
      </c>
      <c r="G142" t="s">
        <v>11</v>
      </c>
      <c r="H142" s="2" t="s">
        <v>446</v>
      </c>
      <c r="I142" t="s">
        <v>337</v>
      </c>
      <c r="J142" t="s">
        <v>75</v>
      </c>
      <c r="K142" t="s">
        <v>81</v>
      </c>
      <c r="L142" t="s">
        <v>337</v>
      </c>
      <c r="N142">
        <v>0</v>
      </c>
      <c r="O142" s="1">
        <v>46043.635949074072</v>
      </c>
      <c r="P142" t="s">
        <v>82</v>
      </c>
      <c r="Q142" t="s">
        <v>69</v>
      </c>
      <c r="R142" t="s">
        <v>125</v>
      </c>
    </row>
    <row r="143" spans="1:18" ht="15" customHeight="1">
      <c r="A143" t="s">
        <v>447</v>
      </c>
      <c r="B143" s="1">
        <v>46043.428229166668</v>
      </c>
      <c r="C143" t="s">
        <v>61</v>
      </c>
      <c r="D143" t="s">
        <v>9</v>
      </c>
      <c r="E143" t="s">
        <v>1</v>
      </c>
      <c r="F143" t="s">
        <v>37</v>
      </c>
      <c r="G143" t="s">
        <v>21</v>
      </c>
      <c r="H143" s="2" t="s">
        <v>448</v>
      </c>
      <c r="I143" t="s">
        <v>202</v>
      </c>
      <c r="J143" t="s">
        <v>75</v>
      </c>
      <c r="K143" t="s">
        <v>81</v>
      </c>
      <c r="L143" t="s">
        <v>202</v>
      </c>
      <c r="N143">
        <v>0</v>
      </c>
      <c r="O143" s="1">
        <v>46043.47084490741</v>
      </c>
      <c r="P143" t="s">
        <v>82</v>
      </c>
      <c r="Q143" t="s">
        <v>117</v>
      </c>
      <c r="R143" t="s">
        <v>125</v>
      </c>
    </row>
    <row r="144" spans="1:18" ht="15" customHeight="1">
      <c r="A144" t="s">
        <v>449</v>
      </c>
      <c r="B144" s="1">
        <v>46043.459849537037</v>
      </c>
      <c r="C144" t="s">
        <v>61</v>
      </c>
      <c r="D144" t="s">
        <v>9</v>
      </c>
      <c r="E144" t="s">
        <v>1</v>
      </c>
      <c r="F144" t="s">
        <v>26</v>
      </c>
      <c r="G144" t="s">
        <v>11</v>
      </c>
      <c r="H144" t="s">
        <v>450</v>
      </c>
      <c r="I144" t="s">
        <v>451</v>
      </c>
      <c r="J144" t="s">
        <v>75</v>
      </c>
      <c r="K144" t="s">
        <v>81</v>
      </c>
      <c r="L144" t="s">
        <v>451</v>
      </c>
      <c r="N144">
        <v>0</v>
      </c>
      <c r="O144" s="1">
        <v>46043.515289351853</v>
      </c>
      <c r="P144" t="s">
        <v>82</v>
      </c>
      <c r="Q144" t="s">
        <v>69</v>
      </c>
      <c r="R144" t="s">
        <v>92</v>
      </c>
    </row>
    <row r="145" spans="1:18" ht="15" customHeight="1">
      <c r="A145" t="s">
        <v>452</v>
      </c>
      <c r="B145" s="1">
        <v>46043.500520833331</v>
      </c>
      <c r="C145" t="s">
        <v>453</v>
      </c>
      <c r="D145" t="s">
        <v>9</v>
      </c>
      <c r="E145" t="s">
        <v>1</v>
      </c>
      <c r="F145" t="s">
        <v>37</v>
      </c>
      <c r="G145" t="s">
        <v>19</v>
      </c>
      <c r="H145" s="2" t="s">
        <v>454</v>
      </c>
      <c r="I145" t="s">
        <v>118</v>
      </c>
      <c r="J145" t="s">
        <v>75</v>
      </c>
      <c r="K145" t="s">
        <v>76</v>
      </c>
      <c r="L145" t="s">
        <v>118</v>
      </c>
      <c r="N145">
        <v>0</v>
      </c>
      <c r="P145" t="s">
        <v>97</v>
      </c>
      <c r="Q145" t="s">
        <v>98</v>
      </c>
      <c r="R145" t="s">
        <v>118</v>
      </c>
    </row>
    <row r="146" spans="1:18" ht="15" customHeight="1">
      <c r="A146" t="s">
        <v>455</v>
      </c>
      <c r="B146" s="1">
        <v>46043.50377314815</v>
      </c>
      <c r="C146" t="s">
        <v>61</v>
      </c>
      <c r="D146" t="s">
        <v>9</v>
      </c>
      <c r="E146" t="s">
        <v>1</v>
      </c>
      <c r="F146" t="s">
        <v>27</v>
      </c>
      <c r="G146" t="s">
        <v>19</v>
      </c>
      <c r="H146" s="2" t="s">
        <v>456</v>
      </c>
      <c r="I146" t="s">
        <v>118</v>
      </c>
      <c r="J146" t="s">
        <v>75</v>
      </c>
      <c r="K146" t="s">
        <v>76</v>
      </c>
      <c r="L146" t="s">
        <v>118</v>
      </c>
      <c r="N146">
        <v>0</v>
      </c>
      <c r="O146" s="1">
        <v>46049.304502314815</v>
      </c>
      <c r="P146" t="s">
        <v>97</v>
      </c>
      <c r="Q146" t="s">
        <v>98</v>
      </c>
      <c r="R146" t="s">
        <v>118</v>
      </c>
    </row>
    <row r="147" spans="1:18" ht="15" customHeight="1">
      <c r="A147" t="s">
        <v>457</v>
      </c>
      <c r="B147" s="1">
        <v>46043.587916666664</v>
      </c>
      <c r="C147" t="s">
        <v>184</v>
      </c>
      <c r="D147" t="s">
        <v>9</v>
      </c>
      <c r="E147" t="s">
        <v>1</v>
      </c>
      <c r="F147" t="s">
        <v>39</v>
      </c>
      <c r="G147" t="s">
        <v>19</v>
      </c>
      <c r="H147" s="2" t="s">
        <v>458</v>
      </c>
      <c r="I147" t="s">
        <v>210</v>
      </c>
      <c r="J147" t="s">
        <v>75</v>
      </c>
      <c r="K147" t="s">
        <v>76</v>
      </c>
      <c r="L147" t="s">
        <v>210</v>
      </c>
      <c r="N147">
        <v>0</v>
      </c>
      <c r="P147" t="s">
        <v>97</v>
      </c>
      <c r="R147" t="s">
        <v>210</v>
      </c>
    </row>
    <row r="148" spans="1:18" ht="15" customHeight="1">
      <c r="A148" t="s">
        <v>459</v>
      </c>
      <c r="B148" s="1">
        <v>46043.595567129632</v>
      </c>
      <c r="C148" t="s">
        <v>61</v>
      </c>
      <c r="D148" t="s">
        <v>9</v>
      </c>
      <c r="E148" t="s">
        <v>63</v>
      </c>
      <c r="H148" t="s">
        <v>460</v>
      </c>
      <c r="I148" t="s">
        <v>121</v>
      </c>
      <c r="J148" t="s">
        <v>75</v>
      </c>
      <c r="K148" t="s">
        <v>76</v>
      </c>
      <c r="L148" t="s">
        <v>121</v>
      </c>
      <c r="N148">
        <v>1</v>
      </c>
      <c r="O148" s="1">
        <v>46043.598101851851</v>
      </c>
      <c r="Q148" t="s">
        <v>69</v>
      </c>
      <c r="R148" t="s">
        <v>354</v>
      </c>
    </row>
    <row r="149" spans="1:18" ht="15" customHeight="1">
      <c r="A149" t="s">
        <v>461</v>
      </c>
      <c r="B149" s="1">
        <v>46043.625844907408</v>
      </c>
      <c r="C149" t="s">
        <v>184</v>
      </c>
      <c r="D149" t="s">
        <v>9</v>
      </c>
      <c r="E149" t="s">
        <v>1</v>
      </c>
      <c r="F149" t="s">
        <v>37</v>
      </c>
      <c r="G149" t="s">
        <v>12</v>
      </c>
      <c r="H149" s="2" t="s">
        <v>462</v>
      </c>
      <c r="I149" t="s">
        <v>463</v>
      </c>
      <c r="J149" t="s">
        <v>75</v>
      </c>
      <c r="K149" t="s">
        <v>76</v>
      </c>
      <c r="L149" t="s">
        <v>463</v>
      </c>
      <c r="N149">
        <v>0</v>
      </c>
      <c r="P149" t="s">
        <v>97</v>
      </c>
      <c r="R149" t="s">
        <v>118</v>
      </c>
    </row>
    <row r="150" spans="1:18" ht="15" customHeight="1">
      <c r="A150" t="s">
        <v>464</v>
      </c>
      <c r="B150" s="1">
        <v>46043.652731481481</v>
      </c>
      <c r="C150" t="s">
        <v>61</v>
      </c>
      <c r="D150" t="s">
        <v>9</v>
      </c>
      <c r="E150" t="s">
        <v>63</v>
      </c>
      <c r="H150" t="s">
        <v>465</v>
      </c>
      <c r="I150" t="s">
        <v>466</v>
      </c>
      <c r="J150" t="s">
        <v>75</v>
      </c>
      <c r="K150" t="s">
        <v>76</v>
      </c>
      <c r="L150" t="s">
        <v>466</v>
      </c>
      <c r="N150">
        <v>1</v>
      </c>
      <c r="O150" s="1">
        <v>46043.662534722222</v>
      </c>
      <c r="Q150" t="s">
        <v>147</v>
      </c>
      <c r="R150" t="s">
        <v>354</v>
      </c>
    </row>
    <row r="151" spans="1:18" ht="15" customHeight="1">
      <c r="A151" t="s">
        <v>467</v>
      </c>
      <c r="B151" s="1">
        <v>46043.665497685186</v>
      </c>
      <c r="C151" t="s">
        <v>61</v>
      </c>
      <c r="D151" t="s">
        <v>9</v>
      </c>
      <c r="E151" t="s">
        <v>1</v>
      </c>
      <c r="F151" t="s">
        <v>28</v>
      </c>
      <c r="G151" t="s">
        <v>17</v>
      </c>
      <c r="H151" s="2" t="s">
        <v>468</v>
      </c>
      <c r="I151" t="s">
        <v>118</v>
      </c>
      <c r="J151" t="s">
        <v>75</v>
      </c>
      <c r="K151" t="s">
        <v>76</v>
      </c>
      <c r="L151" t="s">
        <v>118</v>
      </c>
      <c r="N151">
        <v>0</v>
      </c>
      <c r="O151" s="1">
        <v>46057.410243055558</v>
      </c>
      <c r="P151" t="s">
        <v>97</v>
      </c>
      <c r="Q151" t="s">
        <v>69</v>
      </c>
      <c r="R151" t="s">
        <v>118</v>
      </c>
    </row>
    <row r="152" spans="1:18" ht="15" customHeight="1">
      <c r="A152" t="s">
        <v>469</v>
      </c>
      <c r="B152" s="1">
        <v>46043.689479166664</v>
      </c>
      <c r="C152" t="s">
        <v>61</v>
      </c>
      <c r="D152" t="s">
        <v>9</v>
      </c>
      <c r="E152" t="s">
        <v>63</v>
      </c>
      <c r="H152" t="s">
        <v>470</v>
      </c>
      <c r="I152" t="s">
        <v>466</v>
      </c>
      <c r="J152" t="s">
        <v>75</v>
      </c>
      <c r="K152" t="s">
        <v>76</v>
      </c>
      <c r="L152" t="s">
        <v>466</v>
      </c>
      <c r="N152">
        <v>1</v>
      </c>
      <c r="O152" s="1">
        <v>46043.690625000003</v>
      </c>
      <c r="Q152" t="s">
        <v>147</v>
      </c>
      <c r="R152" t="s">
        <v>87</v>
      </c>
    </row>
    <row r="153" spans="1:18" ht="15" customHeight="1">
      <c r="A153" t="s">
        <v>471</v>
      </c>
      <c r="B153" s="1">
        <v>46043.695231481484</v>
      </c>
      <c r="C153" t="s">
        <v>61</v>
      </c>
      <c r="D153" t="s">
        <v>9</v>
      </c>
      <c r="E153" t="s">
        <v>1</v>
      </c>
      <c r="F153" t="s">
        <v>41</v>
      </c>
      <c r="G153" t="s">
        <v>17</v>
      </c>
      <c r="H153" s="2" t="s">
        <v>472</v>
      </c>
      <c r="I153" t="s">
        <v>118</v>
      </c>
      <c r="J153" t="s">
        <v>96</v>
      </c>
      <c r="K153" t="s">
        <v>76</v>
      </c>
      <c r="L153" t="s">
        <v>118</v>
      </c>
      <c r="N153">
        <v>0</v>
      </c>
      <c r="O153" s="1">
        <v>46045.315451388888</v>
      </c>
      <c r="P153" t="s">
        <v>97</v>
      </c>
      <c r="Q153" t="s">
        <v>211</v>
      </c>
      <c r="R153" t="s">
        <v>118</v>
      </c>
    </row>
    <row r="154" spans="1:18" ht="15" customHeight="1">
      <c r="A154" t="s">
        <v>473</v>
      </c>
      <c r="B154" s="1">
        <v>46043.706875000003</v>
      </c>
      <c r="C154" t="s">
        <v>61</v>
      </c>
      <c r="D154" t="s">
        <v>9</v>
      </c>
      <c r="E154" t="s">
        <v>63</v>
      </c>
      <c r="H154" s="2" t="s">
        <v>474</v>
      </c>
      <c r="I154" t="s">
        <v>475</v>
      </c>
      <c r="J154" t="s">
        <v>75</v>
      </c>
      <c r="K154" t="s">
        <v>76</v>
      </c>
      <c r="L154" t="s">
        <v>475</v>
      </c>
      <c r="N154">
        <v>0</v>
      </c>
      <c r="O154" s="1">
        <v>46044.457395833335</v>
      </c>
      <c r="P154" t="s">
        <v>91</v>
      </c>
      <c r="Q154" t="s">
        <v>147</v>
      </c>
      <c r="R154" t="s">
        <v>125</v>
      </c>
    </row>
    <row r="155" spans="1:18" ht="15" customHeight="1">
      <c r="A155" t="s">
        <v>476</v>
      </c>
      <c r="B155" s="1">
        <v>46044.28230324074</v>
      </c>
      <c r="C155" t="s">
        <v>61</v>
      </c>
      <c r="D155" t="s">
        <v>62</v>
      </c>
      <c r="E155" t="s">
        <v>63</v>
      </c>
      <c r="H155" s="2" t="s">
        <v>477</v>
      </c>
      <c r="I155" t="s">
        <v>478</v>
      </c>
      <c r="J155" t="s">
        <v>66</v>
      </c>
      <c r="K155" t="s">
        <v>67</v>
      </c>
      <c r="L155" t="s">
        <v>478</v>
      </c>
      <c r="N155">
        <v>0</v>
      </c>
      <c r="O155" s="1">
        <v>46044.614108796297</v>
      </c>
      <c r="P155" t="s">
        <v>97</v>
      </c>
      <c r="Q155" t="s">
        <v>69</v>
      </c>
      <c r="R155" t="s">
        <v>478</v>
      </c>
    </row>
    <row r="156" spans="1:18" ht="15" customHeight="1">
      <c r="A156" t="s">
        <v>479</v>
      </c>
      <c r="B156" s="1">
        <v>46044.337395833332</v>
      </c>
      <c r="C156" t="s">
        <v>61</v>
      </c>
      <c r="D156" t="s">
        <v>9</v>
      </c>
      <c r="E156" t="s">
        <v>1</v>
      </c>
      <c r="F156" t="s">
        <v>41</v>
      </c>
      <c r="G156" t="s">
        <v>17</v>
      </c>
      <c r="H156" s="2" t="s">
        <v>480</v>
      </c>
      <c r="I156" t="s">
        <v>118</v>
      </c>
      <c r="J156" t="s">
        <v>75</v>
      </c>
      <c r="K156" t="s">
        <v>76</v>
      </c>
      <c r="L156" t="s">
        <v>118</v>
      </c>
      <c r="N156">
        <v>0</v>
      </c>
      <c r="O156" s="1">
        <v>46071.321018518516</v>
      </c>
      <c r="P156" t="s">
        <v>97</v>
      </c>
      <c r="Q156" t="s">
        <v>98</v>
      </c>
      <c r="R156" t="s">
        <v>118</v>
      </c>
    </row>
    <row r="157" spans="1:18" ht="15" customHeight="1">
      <c r="A157" t="s">
        <v>481</v>
      </c>
      <c r="B157" s="1">
        <v>46044.410057870373</v>
      </c>
      <c r="C157" t="s">
        <v>61</v>
      </c>
      <c r="D157" t="s">
        <v>9</v>
      </c>
      <c r="E157" t="s">
        <v>1</v>
      </c>
      <c r="F157" t="s">
        <v>41</v>
      </c>
      <c r="G157" t="s">
        <v>17</v>
      </c>
      <c r="H157" s="2" t="s">
        <v>482</v>
      </c>
      <c r="I157" t="s">
        <v>118</v>
      </c>
      <c r="J157" t="s">
        <v>96</v>
      </c>
      <c r="K157" t="s">
        <v>76</v>
      </c>
      <c r="L157" t="s">
        <v>118</v>
      </c>
      <c r="N157">
        <v>0</v>
      </c>
      <c r="O157" s="1">
        <v>46045.31695601852</v>
      </c>
      <c r="P157" t="s">
        <v>97</v>
      </c>
      <c r="Q157" t="s">
        <v>98</v>
      </c>
      <c r="R157" t="s">
        <v>118</v>
      </c>
    </row>
    <row r="158" spans="1:18" ht="15" customHeight="1">
      <c r="A158" t="s">
        <v>483</v>
      </c>
      <c r="B158" s="1">
        <v>46044.417280092595</v>
      </c>
      <c r="C158" t="s">
        <v>61</v>
      </c>
      <c r="D158" t="s">
        <v>9</v>
      </c>
      <c r="E158" t="s">
        <v>63</v>
      </c>
      <c r="H158" t="s">
        <v>484</v>
      </c>
      <c r="I158" t="s">
        <v>485</v>
      </c>
      <c r="J158" t="s">
        <v>75</v>
      </c>
      <c r="K158" t="s">
        <v>76</v>
      </c>
      <c r="L158" t="s">
        <v>485</v>
      </c>
      <c r="N158">
        <v>1</v>
      </c>
      <c r="O158" s="1">
        <v>46044.425509259258</v>
      </c>
      <c r="Q158" t="s">
        <v>276</v>
      </c>
      <c r="R158" t="s">
        <v>87</v>
      </c>
    </row>
    <row r="159" spans="1:18" ht="15" customHeight="1">
      <c r="A159" t="s">
        <v>486</v>
      </c>
      <c r="B159" s="1">
        <v>46044.448460648149</v>
      </c>
      <c r="C159" t="s">
        <v>61</v>
      </c>
      <c r="D159" t="s">
        <v>9</v>
      </c>
      <c r="E159" t="s">
        <v>63</v>
      </c>
      <c r="H159" s="2" t="s">
        <v>487</v>
      </c>
      <c r="I159" t="s">
        <v>485</v>
      </c>
      <c r="J159" t="s">
        <v>75</v>
      </c>
      <c r="K159" t="s">
        <v>76</v>
      </c>
      <c r="L159" t="s">
        <v>485</v>
      </c>
      <c r="N159">
        <v>1</v>
      </c>
      <c r="O159" s="1">
        <v>46044.451724537037</v>
      </c>
      <c r="Q159" t="s">
        <v>141</v>
      </c>
      <c r="R159" t="s">
        <v>77</v>
      </c>
    </row>
    <row r="160" spans="1:18" ht="15" customHeight="1">
      <c r="A160" t="s">
        <v>488</v>
      </c>
      <c r="B160" s="1">
        <v>46044.521018518521</v>
      </c>
      <c r="C160" t="s">
        <v>165</v>
      </c>
      <c r="D160" t="s">
        <v>9</v>
      </c>
      <c r="E160" t="s">
        <v>1</v>
      </c>
      <c r="F160" t="s">
        <v>36</v>
      </c>
      <c r="G160" t="s">
        <v>11</v>
      </c>
      <c r="H160" t="s">
        <v>489</v>
      </c>
      <c r="I160" t="s">
        <v>131</v>
      </c>
      <c r="J160" t="s">
        <v>75</v>
      </c>
      <c r="K160" t="s">
        <v>81</v>
      </c>
      <c r="L160" t="s">
        <v>131</v>
      </c>
      <c r="N160">
        <v>0</v>
      </c>
      <c r="P160" t="s">
        <v>82</v>
      </c>
      <c r="R160" t="s">
        <v>83</v>
      </c>
    </row>
    <row r="161" spans="1:18" ht="15" customHeight="1">
      <c r="A161" t="s">
        <v>490</v>
      </c>
      <c r="B161" s="1">
        <v>46044.584247685183</v>
      </c>
      <c r="C161" t="s">
        <v>61</v>
      </c>
      <c r="D161" t="s">
        <v>9</v>
      </c>
      <c r="E161" t="s">
        <v>63</v>
      </c>
      <c r="H161" s="2" t="s">
        <v>491</v>
      </c>
      <c r="I161" t="s">
        <v>485</v>
      </c>
      <c r="J161" t="s">
        <v>75</v>
      </c>
      <c r="K161" t="s">
        <v>76</v>
      </c>
      <c r="L161" t="s">
        <v>485</v>
      </c>
      <c r="N161">
        <v>1</v>
      </c>
      <c r="O161" s="1">
        <v>46044.586921296293</v>
      </c>
      <c r="Q161" t="s">
        <v>176</v>
      </c>
      <c r="R161" t="s">
        <v>125</v>
      </c>
    </row>
    <row r="162" spans="1:18" ht="15" customHeight="1">
      <c r="A162" t="s">
        <v>492</v>
      </c>
      <c r="B162" s="1">
        <v>46044.608437499999</v>
      </c>
      <c r="C162" t="s">
        <v>61</v>
      </c>
      <c r="D162" t="s">
        <v>9</v>
      </c>
      <c r="E162" t="s">
        <v>1</v>
      </c>
      <c r="F162" t="s">
        <v>31</v>
      </c>
      <c r="G162" t="s">
        <v>11</v>
      </c>
      <c r="H162" t="s">
        <v>493</v>
      </c>
      <c r="I162" t="s">
        <v>494</v>
      </c>
      <c r="J162" t="s">
        <v>75</v>
      </c>
      <c r="K162" t="s">
        <v>81</v>
      </c>
      <c r="L162" t="s">
        <v>494</v>
      </c>
      <c r="N162">
        <v>0</v>
      </c>
      <c r="O162" s="1">
        <v>46044.771921296298</v>
      </c>
      <c r="P162" t="s">
        <v>82</v>
      </c>
      <c r="Q162" t="s">
        <v>69</v>
      </c>
      <c r="R162" t="s">
        <v>83</v>
      </c>
    </row>
    <row r="163" spans="1:18" ht="15" customHeight="1">
      <c r="A163" t="s">
        <v>495</v>
      </c>
      <c r="B163" s="1">
        <v>46044.669930555552</v>
      </c>
      <c r="C163" t="s">
        <v>393</v>
      </c>
      <c r="D163" t="s">
        <v>401</v>
      </c>
      <c r="E163" t="s">
        <v>63</v>
      </c>
      <c r="H163" t="s">
        <v>496</v>
      </c>
      <c r="I163" t="s">
        <v>497</v>
      </c>
      <c r="J163" t="s">
        <v>66</v>
      </c>
      <c r="K163" t="s">
        <v>76</v>
      </c>
      <c r="L163" t="s">
        <v>497</v>
      </c>
      <c r="N163">
        <v>0</v>
      </c>
      <c r="P163" t="s">
        <v>498</v>
      </c>
      <c r="R163" t="s">
        <v>497</v>
      </c>
    </row>
    <row r="164" spans="1:18" ht="15" customHeight="1">
      <c r="A164" t="s">
        <v>499</v>
      </c>
      <c r="B164" s="1">
        <v>46044.77584490741</v>
      </c>
      <c r="C164" t="s">
        <v>61</v>
      </c>
      <c r="D164" t="s">
        <v>9</v>
      </c>
      <c r="E164" t="s">
        <v>1</v>
      </c>
      <c r="F164" t="s">
        <v>31</v>
      </c>
      <c r="G164" t="s">
        <v>11</v>
      </c>
      <c r="H164" t="s">
        <v>500</v>
      </c>
      <c r="I164" t="s">
        <v>501</v>
      </c>
      <c r="J164" t="s">
        <v>75</v>
      </c>
      <c r="K164" t="s">
        <v>81</v>
      </c>
      <c r="L164" t="s">
        <v>501</v>
      </c>
      <c r="N164">
        <v>0</v>
      </c>
      <c r="O164" s="1">
        <v>46049.521249999998</v>
      </c>
      <c r="P164" t="s">
        <v>82</v>
      </c>
      <c r="Q164" t="s">
        <v>69</v>
      </c>
      <c r="R164" t="s">
        <v>83</v>
      </c>
    </row>
    <row r="165" spans="1:18" ht="15" customHeight="1">
      <c r="A165" t="s">
        <v>502</v>
      </c>
      <c r="B165" s="1">
        <v>46045.272789351853</v>
      </c>
      <c r="C165" t="s">
        <v>61</v>
      </c>
      <c r="D165" t="s">
        <v>62</v>
      </c>
      <c r="E165" t="s">
        <v>63</v>
      </c>
      <c r="H165" s="2" t="s">
        <v>503</v>
      </c>
      <c r="I165" t="s">
        <v>478</v>
      </c>
      <c r="J165" t="s">
        <v>66</v>
      </c>
      <c r="K165" t="s">
        <v>67</v>
      </c>
      <c r="L165" t="s">
        <v>478</v>
      </c>
      <c r="N165">
        <v>0</v>
      </c>
      <c r="O165" s="1">
        <v>46045.500694444447</v>
      </c>
      <c r="P165" t="s">
        <v>97</v>
      </c>
      <c r="Q165" t="s">
        <v>117</v>
      </c>
      <c r="R165" t="s">
        <v>478</v>
      </c>
    </row>
    <row r="166" spans="1:18" ht="15" customHeight="1">
      <c r="A166" t="s">
        <v>504</v>
      </c>
      <c r="B166" s="1">
        <v>46045.377268518518</v>
      </c>
      <c r="C166" t="s">
        <v>61</v>
      </c>
      <c r="D166" t="s">
        <v>9</v>
      </c>
      <c r="E166" t="s">
        <v>63</v>
      </c>
      <c r="H166" s="2" t="s">
        <v>505</v>
      </c>
      <c r="I166" t="s">
        <v>506</v>
      </c>
      <c r="J166" t="s">
        <v>75</v>
      </c>
      <c r="K166" t="s">
        <v>76</v>
      </c>
      <c r="L166" t="s">
        <v>506</v>
      </c>
      <c r="N166">
        <v>1</v>
      </c>
      <c r="O166" s="1">
        <v>46045.381388888891</v>
      </c>
      <c r="Q166" t="s">
        <v>176</v>
      </c>
      <c r="R166" t="s">
        <v>77</v>
      </c>
    </row>
    <row r="167" spans="1:18" ht="15" customHeight="1">
      <c r="A167" t="s">
        <v>507</v>
      </c>
      <c r="B167" s="1">
        <v>46045.413402777776</v>
      </c>
      <c r="C167" t="s">
        <v>61</v>
      </c>
      <c r="D167" t="s">
        <v>9</v>
      </c>
      <c r="E167" t="s">
        <v>1</v>
      </c>
      <c r="F167" t="s">
        <v>28</v>
      </c>
      <c r="G167" t="s">
        <v>17</v>
      </c>
      <c r="H167" s="2" t="s">
        <v>508</v>
      </c>
      <c r="I167" t="s">
        <v>386</v>
      </c>
      <c r="J167" t="s">
        <v>96</v>
      </c>
      <c r="K167" t="s">
        <v>76</v>
      </c>
      <c r="L167" t="s">
        <v>386</v>
      </c>
      <c r="N167">
        <v>0</v>
      </c>
      <c r="O167" s="1">
        <v>46050.320196759261</v>
      </c>
      <c r="P167" t="s">
        <v>97</v>
      </c>
      <c r="Q167" t="s">
        <v>211</v>
      </c>
      <c r="R167" t="s">
        <v>118</v>
      </c>
    </row>
    <row r="168" spans="1:18" ht="15" customHeight="1">
      <c r="A168" t="s">
        <v>509</v>
      </c>
      <c r="B168" s="1">
        <v>46045.426180555558</v>
      </c>
      <c r="C168" t="s">
        <v>165</v>
      </c>
      <c r="D168" t="s">
        <v>9</v>
      </c>
      <c r="E168" t="s">
        <v>1</v>
      </c>
      <c r="F168" t="s">
        <v>41</v>
      </c>
      <c r="G168" t="s">
        <v>17</v>
      </c>
      <c r="H168" s="2" t="s">
        <v>510</v>
      </c>
      <c r="I168" t="s">
        <v>118</v>
      </c>
      <c r="J168" t="s">
        <v>75</v>
      </c>
      <c r="K168" t="s">
        <v>76</v>
      </c>
      <c r="L168" t="s">
        <v>118</v>
      </c>
      <c r="N168">
        <v>0</v>
      </c>
      <c r="P168" t="s">
        <v>97</v>
      </c>
      <c r="R168" t="s">
        <v>118</v>
      </c>
    </row>
    <row r="169" spans="1:18" ht="15" customHeight="1">
      <c r="A169" t="s">
        <v>511</v>
      </c>
      <c r="B169" s="1">
        <v>46045.442870370367</v>
      </c>
      <c r="C169" t="s">
        <v>61</v>
      </c>
      <c r="D169" t="s">
        <v>9</v>
      </c>
      <c r="E169" t="s">
        <v>63</v>
      </c>
      <c r="H169" s="2" t="s">
        <v>174</v>
      </c>
      <c r="I169" t="s">
        <v>420</v>
      </c>
      <c r="J169" t="s">
        <v>75</v>
      </c>
      <c r="K169" t="s">
        <v>76</v>
      </c>
      <c r="L169" t="s">
        <v>420</v>
      </c>
      <c r="N169">
        <v>1</v>
      </c>
      <c r="O169" s="1">
        <v>46045.444641203707</v>
      </c>
      <c r="Q169" t="s">
        <v>176</v>
      </c>
      <c r="R169" t="s">
        <v>125</v>
      </c>
    </row>
    <row r="170" spans="1:18" ht="15" customHeight="1">
      <c r="A170" t="s">
        <v>512</v>
      </c>
      <c r="B170" s="1">
        <v>46045.495416666665</v>
      </c>
      <c r="C170" t="s">
        <v>61</v>
      </c>
      <c r="D170" t="s">
        <v>9</v>
      </c>
      <c r="E170" t="s">
        <v>1</v>
      </c>
      <c r="F170" t="s">
        <v>28</v>
      </c>
      <c r="G170" t="s">
        <v>17</v>
      </c>
      <c r="H170" s="2" t="s">
        <v>513</v>
      </c>
      <c r="I170" t="s">
        <v>150</v>
      </c>
      <c r="J170" t="s">
        <v>75</v>
      </c>
      <c r="K170" t="s">
        <v>81</v>
      </c>
      <c r="L170" t="s">
        <v>150</v>
      </c>
      <c r="N170">
        <v>0</v>
      </c>
      <c r="O170" s="1">
        <v>46057.409502314818</v>
      </c>
      <c r="P170" t="s">
        <v>97</v>
      </c>
      <c r="Q170" t="s">
        <v>69</v>
      </c>
      <c r="R170" t="s">
        <v>125</v>
      </c>
    </row>
    <row r="171" spans="1:18" ht="15" customHeight="1">
      <c r="A171" t="s">
        <v>514</v>
      </c>
      <c r="B171" s="1">
        <v>46045.549201388887</v>
      </c>
      <c r="C171" t="s">
        <v>61</v>
      </c>
      <c r="D171" t="s">
        <v>9</v>
      </c>
      <c r="E171" t="s">
        <v>63</v>
      </c>
      <c r="H171" s="2" t="s">
        <v>188</v>
      </c>
      <c r="I171" t="s">
        <v>350</v>
      </c>
      <c r="J171" t="s">
        <v>75</v>
      </c>
      <c r="K171" t="s">
        <v>76</v>
      </c>
      <c r="L171" t="s">
        <v>350</v>
      </c>
      <c r="N171">
        <v>1</v>
      </c>
      <c r="O171" s="1">
        <v>46045.553101851852</v>
      </c>
      <c r="Q171" t="s">
        <v>141</v>
      </c>
      <c r="R171" t="s">
        <v>110</v>
      </c>
    </row>
    <row r="172" spans="1:18" ht="15" customHeight="1">
      <c r="A172" t="s">
        <v>515</v>
      </c>
      <c r="B172" s="1">
        <v>46045.564143518517</v>
      </c>
      <c r="C172" t="s">
        <v>61</v>
      </c>
      <c r="D172" t="s">
        <v>9</v>
      </c>
      <c r="E172" t="s">
        <v>63</v>
      </c>
      <c r="H172" s="2" t="s">
        <v>516</v>
      </c>
      <c r="I172" t="s">
        <v>517</v>
      </c>
      <c r="J172" t="s">
        <v>75</v>
      </c>
      <c r="K172" t="s">
        <v>76</v>
      </c>
      <c r="L172" t="s">
        <v>517</v>
      </c>
      <c r="N172">
        <v>0</v>
      </c>
      <c r="O172" s="1">
        <v>46045.610532407409</v>
      </c>
      <c r="P172" t="s">
        <v>518</v>
      </c>
      <c r="Q172" t="s">
        <v>263</v>
      </c>
      <c r="R172" t="s">
        <v>105</v>
      </c>
    </row>
    <row r="173" spans="1:18" ht="15" customHeight="1">
      <c r="A173" t="s">
        <v>519</v>
      </c>
      <c r="B173" s="1">
        <v>46045.58489583333</v>
      </c>
      <c r="C173" t="s">
        <v>61</v>
      </c>
      <c r="D173" t="s">
        <v>9</v>
      </c>
      <c r="E173" t="s">
        <v>63</v>
      </c>
      <c r="H173" t="s">
        <v>139</v>
      </c>
      <c r="I173" t="s">
        <v>121</v>
      </c>
      <c r="J173" t="s">
        <v>75</v>
      </c>
      <c r="K173" t="s">
        <v>76</v>
      </c>
      <c r="L173" t="s">
        <v>121</v>
      </c>
      <c r="N173">
        <v>1</v>
      </c>
      <c r="O173" s="1">
        <v>46045.585844907408</v>
      </c>
      <c r="Q173" t="s">
        <v>141</v>
      </c>
      <c r="R173" t="s">
        <v>87</v>
      </c>
    </row>
    <row r="174" spans="1:18" ht="15" customHeight="1">
      <c r="A174" t="s">
        <v>520</v>
      </c>
      <c r="B174" s="1">
        <v>46045.603460648148</v>
      </c>
      <c r="C174" t="s">
        <v>61</v>
      </c>
      <c r="D174" t="s">
        <v>9</v>
      </c>
      <c r="E174" t="s">
        <v>1</v>
      </c>
      <c r="F174" t="s">
        <v>37</v>
      </c>
      <c r="G174" t="s">
        <v>20</v>
      </c>
      <c r="H174" s="2" t="s">
        <v>521</v>
      </c>
      <c r="I174" t="s">
        <v>118</v>
      </c>
      <c r="J174" t="s">
        <v>75</v>
      </c>
      <c r="K174" t="s">
        <v>76</v>
      </c>
      <c r="L174" t="s">
        <v>118</v>
      </c>
      <c r="N174">
        <v>0</v>
      </c>
      <c r="O174" s="1">
        <v>46049.304756944446</v>
      </c>
      <c r="P174" t="s">
        <v>97</v>
      </c>
      <c r="Q174" t="s">
        <v>98</v>
      </c>
      <c r="R174" t="s">
        <v>118</v>
      </c>
    </row>
    <row r="175" spans="1:18" ht="15" customHeight="1">
      <c r="A175" t="s">
        <v>522</v>
      </c>
      <c r="B175" s="1">
        <v>46045.618275462963</v>
      </c>
      <c r="C175" t="s">
        <v>61</v>
      </c>
      <c r="D175" t="s">
        <v>9</v>
      </c>
      <c r="E175" t="s">
        <v>1</v>
      </c>
      <c r="F175" t="s">
        <v>28</v>
      </c>
      <c r="G175" t="s">
        <v>10</v>
      </c>
      <c r="H175" t="s">
        <v>523</v>
      </c>
      <c r="I175" t="s">
        <v>427</v>
      </c>
      <c r="J175" t="s">
        <v>75</v>
      </c>
      <c r="K175" t="s">
        <v>81</v>
      </c>
      <c r="L175" t="s">
        <v>427</v>
      </c>
      <c r="N175">
        <v>0</v>
      </c>
      <c r="O175" s="1">
        <v>46048.734849537039</v>
      </c>
      <c r="P175" t="s">
        <v>82</v>
      </c>
      <c r="Q175" t="s">
        <v>69</v>
      </c>
      <c r="R175" t="s">
        <v>83</v>
      </c>
    </row>
    <row r="176" spans="1:18" ht="15" customHeight="1">
      <c r="A176" t="s">
        <v>524</v>
      </c>
      <c r="B176" s="1">
        <v>46045.619699074072</v>
      </c>
      <c r="C176" t="s">
        <v>61</v>
      </c>
      <c r="D176" t="s">
        <v>9</v>
      </c>
      <c r="E176" t="s">
        <v>63</v>
      </c>
      <c r="H176" s="2" t="s">
        <v>174</v>
      </c>
      <c r="I176" t="s">
        <v>121</v>
      </c>
      <c r="J176" t="s">
        <v>75</v>
      </c>
      <c r="K176" t="s">
        <v>76</v>
      </c>
      <c r="L176" t="s">
        <v>121</v>
      </c>
      <c r="N176">
        <v>1</v>
      </c>
      <c r="O176" s="1">
        <v>46045.622511574074</v>
      </c>
      <c r="Q176" t="s">
        <v>69</v>
      </c>
      <c r="R176" t="s">
        <v>77</v>
      </c>
    </row>
    <row r="177" spans="1:18" ht="15" customHeight="1">
      <c r="A177" t="s">
        <v>525</v>
      </c>
      <c r="B177" s="1">
        <v>46045.644305555557</v>
      </c>
      <c r="C177" t="s">
        <v>61</v>
      </c>
      <c r="D177" t="s">
        <v>9</v>
      </c>
      <c r="E177" t="s">
        <v>63</v>
      </c>
      <c r="H177" t="s">
        <v>139</v>
      </c>
      <c r="I177" t="s">
        <v>189</v>
      </c>
      <c r="J177" t="s">
        <v>75</v>
      </c>
      <c r="K177" t="s">
        <v>76</v>
      </c>
      <c r="L177" t="s">
        <v>189</v>
      </c>
      <c r="N177">
        <v>1</v>
      </c>
      <c r="O177" s="1">
        <v>46045.645231481481</v>
      </c>
      <c r="Q177" t="s">
        <v>141</v>
      </c>
      <c r="R177" t="s">
        <v>87</v>
      </c>
    </row>
    <row r="178" spans="1:18" ht="15" customHeight="1">
      <c r="A178" t="s">
        <v>526</v>
      </c>
      <c r="B178" s="1">
        <v>46045.679282407407</v>
      </c>
      <c r="C178" t="s">
        <v>61</v>
      </c>
      <c r="D178" t="s">
        <v>9</v>
      </c>
      <c r="E178" t="s">
        <v>1</v>
      </c>
      <c r="F178" t="s">
        <v>37</v>
      </c>
      <c r="G178" t="s">
        <v>17</v>
      </c>
      <c r="H178" s="2" t="s">
        <v>527</v>
      </c>
      <c r="I178" t="s">
        <v>118</v>
      </c>
      <c r="J178" t="s">
        <v>96</v>
      </c>
      <c r="K178" t="s">
        <v>76</v>
      </c>
      <c r="L178" t="s">
        <v>118</v>
      </c>
      <c r="N178">
        <v>0</v>
      </c>
      <c r="O178" s="1">
        <v>46049.303402777776</v>
      </c>
      <c r="P178" t="s">
        <v>97</v>
      </c>
      <c r="Q178" t="s">
        <v>98</v>
      </c>
      <c r="R178" t="s">
        <v>118</v>
      </c>
    </row>
    <row r="179" spans="1:18" ht="15" customHeight="1">
      <c r="A179" t="s">
        <v>528</v>
      </c>
      <c r="B179" s="1">
        <v>46045.682129629633</v>
      </c>
      <c r="C179" t="s">
        <v>61</v>
      </c>
      <c r="D179" t="s">
        <v>9</v>
      </c>
      <c r="E179" t="s">
        <v>1</v>
      </c>
      <c r="F179" t="s">
        <v>37</v>
      </c>
      <c r="G179" t="s">
        <v>21</v>
      </c>
      <c r="H179" s="2" t="s">
        <v>529</v>
      </c>
      <c r="I179" t="s">
        <v>101</v>
      </c>
      <c r="J179" t="s">
        <v>75</v>
      </c>
      <c r="K179" t="s">
        <v>81</v>
      </c>
      <c r="L179" t="s">
        <v>101</v>
      </c>
      <c r="N179">
        <v>0</v>
      </c>
      <c r="O179" s="1">
        <v>46050.407835648148</v>
      </c>
      <c r="P179" t="s">
        <v>82</v>
      </c>
      <c r="Q179" t="s">
        <v>211</v>
      </c>
      <c r="R179" t="s">
        <v>155</v>
      </c>
    </row>
    <row r="180" spans="1:18" ht="15" customHeight="1">
      <c r="A180" t="s">
        <v>530</v>
      </c>
      <c r="B180" s="1">
        <v>46045.708935185183</v>
      </c>
      <c r="C180" t="s">
        <v>61</v>
      </c>
      <c r="D180" t="s">
        <v>9</v>
      </c>
      <c r="E180" t="s">
        <v>1</v>
      </c>
      <c r="F180" t="s">
        <v>29</v>
      </c>
      <c r="G180" t="s">
        <v>21</v>
      </c>
      <c r="H180" t="s">
        <v>531</v>
      </c>
      <c r="I180" t="s">
        <v>389</v>
      </c>
      <c r="J180" t="s">
        <v>75</v>
      </c>
      <c r="K180" t="s">
        <v>81</v>
      </c>
      <c r="L180" t="s">
        <v>389</v>
      </c>
      <c r="N180">
        <v>0</v>
      </c>
      <c r="O180" s="1">
        <v>46050.410185185188</v>
      </c>
      <c r="P180" t="s">
        <v>82</v>
      </c>
      <c r="Q180" t="s">
        <v>211</v>
      </c>
      <c r="R180" t="s">
        <v>151</v>
      </c>
    </row>
    <row r="181" spans="1:18" ht="15" customHeight="1">
      <c r="A181" t="s">
        <v>532</v>
      </c>
      <c r="B181" s="1">
        <v>46045.735891203702</v>
      </c>
      <c r="C181" t="s">
        <v>61</v>
      </c>
      <c r="D181" t="s">
        <v>9</v>
      </c>
      <c r="E181" t="s">
        <v>1</v>
      </c>
      <c r="F181" t="s">
        <v>28</v>
      </c>
      <c r="G181" t="s">
        <v>21</v>
      </c>
      <c r="H181" t="s">
        <v>533</v>
      </c>
      <c r="I181" t="s">
        <v>80</v>
      </c>
      <c r="J181" t="s">
        <v>75</v>
      </c>
      <c r="K181" t="s">
        <v>81</v>
      </c>
      <c r="L181" t="s">
        <v>80</v>
      </c>
      <c r="N181">
        <v>0</v>
      </c>
      <c r="O181" s="1">
        <v>46050.319988425923</v>
      </c>
      <c r="P181" t="s">
        <v>97</v>
      </c>
      <c r="Q181" t="s">
        <v>211</v>
      </c>
      <c r="R181" t="s">
        <v>92</v>
      </c>
    </row>
    <row r="182" spans="1:18" ht="15" customHeight="1">
      <c r="A182" t="s">
        <v>534</v>
      </c>
      <c r="B182" s="1">
        <v>46045.759768518517</v>
      </c>
      <c r="C182" t="s">
        <v>61</v>
      </c>
      <c r="D182" t="s">
        <v>9</v>
      </c>
      <c r="E182" t="s">
        <v>1</v>
      </c>
      <c r="F182" t="s">
        <v>37</v>
      </c>
      <c r="G182" t="s">
        <v>21</v>
      </c>
      <c r="H182" s="2" t="s">
        <v>535</v>
      </c>
      <c r="I182" t="s">
        <v>154</v>
      </c>
      <c r="J182" t="s">
        <v>75</v>
      </c>
      <c r="K182" t="s">
        <v>81</v>
      </c>
      <c r="L182" t="s">
        <v>154</v>
      </c>
      <c r="N182">
        <v>0</v>
      </c>
      <c r="O182" s="1">
        <v>46048.739062499997</v>
      </c>
      <c r="P182" t="s">
        <v>82</v>
      </c>
      <c r="Q182" t="s">
        <v>69</v>
      </c>
      <c r="R182" t="s">
        <v>151</v>
      </c>
    </row>
    <row r="183" spans="1:18" ht="15" customHeight="1">
      <c r="A183" t="s">
        <v>536</v>
      </c>
      <c r="B183" s="1">
        <v>46048.355983796297</v>
      </c>
      <c r="C183" t="s">
        <v>61</v>
      </c>
      <c r="D183" t="s">
        <v>9</v>
      </c>
      <c r="E183" t="s">
        <v>1</v>
      </c>
      <c r="F183" t="s">
        <v>35</v>
      </c>
      <c r="G183" t="s">
        <v>12</v>
      </c>
      <c r="H183" s="2" t="s">
        <v>537</v>
      </c>
      <c r="I183" t="s">
        <v>118</v>
      </c>
      <c r="J183" t="s">
        <v>75</v>
      </c>
      <c r="K183" t="s">
        <v>76</v>
      </c>
      <c r="L183" t="s">
        <v>118</v>
      </c>
      <c r="N183">
        <v>0</v>
      </c>
      <c r="O183" s="1">
        <v>46071.313715277778</v>
      </c>
      <c r="P183" t="s">
        <v>97</v>
      </c>
      <c r="Q183" t="s">
        <v>211</v>
      </c>
      <c r="R183" t="s">
        <v>118</v>
      </c>
    </row>
    <row r="184" spans="1:18" ht="15" customHeight="1">
      <c r="A184" t="s">
        <v>538</v>
      </c>
      <c r="B184" s="1">
        <v>46048.37127314815</v>
      </c>
      <c r="C184" t="s">
        <v>61</v>
      </c>
      <c r="D184" t="s">
        <v>9</v>
      </c>
      <c r="E184" t="s">
        <v>63</v>
      </c>
      <c r="H184" s="2" t="s">
        <v>539</v>
      </c>
      <c r="I184" t="s">
        <v>540</v>
      </c>
      <c r="J184" t="s">
        <v>75</v>
      </c>
      <c r="K184" t="s">
        <v>76</v>
      </c>
      <c r="L184" t="s">
        <v>540</v>
      </c>
      <c r="N184">
        <v>1</v>
      </c>
      <c r="O184" s="1">
        <v>46048.372870370367</v>
      </c>
      <c r="Q184" t="s">
        <v>176</v>
      </c>
      <c r="R184" t="s">
        <v>125</v>
      </c>
    </row>
    <row r="185" spans="1:18" ht="15" customHeight="1">
      <c r="A185" t="s">
        <v>541</v>
      </c>
      <c r="B185" s="1">
        <v>46048.374525462961</v>
      </c>
      <c r="C185" t="s">
        <v>61</v>
      </c>
      <c r="D185" t="s">
        <v>9</v>
      </c>
      <c r="E185" t="s">
        <v>63</v>
      </c>
      <c r="H185" s="2" t="s">
        <v>542</v>
      </c>
      <c r="I185" t="s">
        <v>543</v>
      </c>
      <c r="J185" t="s">
        <v>75</v>
      </c>
      <c r="K185" t="s">
        <v>76</v>
      </c>
      <c r="L185" t="s">
        <v>543</v>
      </c>
      <c r="N185">
        <v>1</v>
      </c>
      <c r="O185" s="1">
        <v>46048.378240740742</v>
      </c>
      <c r="Q185" t="s">
        <v>69</v>
      </c>
      <c r="R185" t="s">
        <v>77</v>
      </c>
    </row>
    <row r="186" spans="1:18" ht="15" customHeight="1">
      <c r="A186" t="s">
        <v>544</v>
      </c>
      <c r="B186" s="1">
        <v>46048.388958333337</v>
      </c>
      <c r="C186" t="s">
        <v>61</v>
      </c>
      <c r="D186" t="s">
        <v>9</v>
      </c>
      <c r="E186" t="s">
        <v>1</v>
      </c>
      <c r="F186" t="s">
        <v>28</v>
      </c>
      <c r="G186" t="s">
        <v>21</v>
      </c>
      <c r="H186" s="2" t="s">
        <v>545</v>
      </c>
      <c r="I186" t="s">
        <v>150</v>
      </c>
      <c r="J186" t="s">
        <v>75</v>
      </c>
      <c r="K186" t="s">
        <v>81</v>
      </c>
      <c r="L186" t="s">
        <v>150</v>
      </c>
      <c r="N186">
        <v>0</v>
      </c>
      <c r="O186" s="1">
        <v>46050.320694444446</v>
      </c>
      <c r="P186" t="s">
        <v>97</v>
      </c>
      <c r="Q186" t="s">
        <v>69</v>
      </c>
      <c r="R186" t="s">
        <v>151</v>
      </c>
    </row>
    <row r="187" spans="1:18" ht="15" customHeight="1">
      <c r="A187" t="s">
        <v>546</v>
      </c>
      <c r="B187" s="1">
        <v>46048.406909722224</v>
      </c>
      <c r="C187" t="s">
        <v>61</v>
      </c>
      <c r="D187" t="s">
        <v>9</v>
      </c>
      <c r="E187" t="s">
        <v>1</v>
      </c>
      <c r="F187" t="s">
        <v>27</v>
      </c>
      <c r="G187" t="s">
        <v>14</v>
      </c>
      <c r="H187" s="2" t="s">
        <v>547</v>
      </c>
      <c r="I187" t="s">
        <v>210</v>
      </c>
      <c r="J187" t="s">
        <v>75</v>
      </c>
      <c r="K187" t="s">
        <v>76</v>
      </c>
      <c r="L187" t="s">
        <v>210</v>
      </c>
      <c r="N187">
        <v>0</v>
      </c>
      <c r="O187" s="1">
        <v>46057.617997685185</v>
      </c>
      <c r="P187" t="s">
        <v>82</v>
      </c>
      <c r="Q187" t="s">
        <v>69</v>
      </c>
      <c r="R187" t="s">
        <v>210</v>
      </c>
    </row>
    <row r="188" spans="1:18" ht="15" customHeight="1">
      <c r="A188" t="s">
        <v>548</v>
      </c>
      <c r="B188" s="1">
        <v>46048.451921296299</v>
      </c>
      <c r="C188" t="s">
        <v>549</v>
      </c>
      <c r="D188" t="s">
        <v>9</v>
      </c>
      <c r="E188" t="s">
        <v>63</v>
      </c>
      <c r="H188" s="2" t="s">
        <v>550</v>
      </c>
      <c r="I188" t="s">
        <v>232</v>
      </c>
      <c r="J188" t="s">
        <v>75</v>
      </c>
      <c r="K188" t="s">
        <v>81</v>
      </c>
      <c r="L188" t="s">
        <v>232</v>
      </c>
      <c r="N188">
        <v>0</v>
      </c>
      <c r="O188" s="1">
        <v>46048.460069444445</v>
      </c>
      <c r="P188" t="s">
        <v>97</v>
      </c>
      <c r="Q188" t="s">
        <v>69</v>
      </c>
      <c r="R188" t="s">
        <v>151</v>
      </c>
    </row>
    <row r="189" spans="1:18" ht="15" customHeight="1">
      <c r="A189" t="s">
        <v>551</v>
      </c>
      <c r="B189" s="1">
        <v>46048.462291666663</v>
      </c>
      <c r="C189" t="s">
        <v>61</v>
      </c>
      <c r="D189" t="s">
        <v>9</v>
      </c>
      <c r="E189" t="s">
        <v>1</v>
      </c>
      <c r="F189" t="s">
        <v>37</v>
      </c>
      <c r="G189" t="s">
        <v>21</v>
      </c>
      <c r="H189" s="2" t="s">
        <v>552</v>
      </c>
      <c r="I189" t="s">
        <v>101</v>
      </c>
      <c r="J189" t="s">
        <v>75</v>
      </c>
      <c r="K189" t="s">
        <v>81</v>
      </c>
      <c r="L189" t="s">
        <v>101</v>
      </c>
      <c r="N189">
        <v>0</v>
      </c>
      <c r="O189" s="1">
        <v>46048.692546296297</v>
      </c>
      <c r="P189" t="s">
        <v>82</v>
      </c>
      <c r="Q189" t="s">
        <v>98</v>
      </c>
      <c r="R189" t="s">
        <v>151</v>
      </c>
    </row>
    <row r="190" spans="1:18" ht="15" customHeight="1">
      <c r="A190" t="s">
        <v>553</v>
      </c>
      <c r="B190" s="1">
        <v>46048.465983796297</v>
      </c>
      <c r="C190" t="s">
        <v>61</v>
      </c>
      <c r="D190" t="s">
        <v>9</v>
      </c>
      <c r="E190" t="s">
        <v>1</v>
      </c>
      <c r="F190" t="s">
        <v>37</v>
      </c>
      <c r="G190" t="s">
        <v>11</v>
      </c>
      <c r="H190" s="2" t="s">
        <v>554</v>
      </c>
      <c r="I190" t="s">
        <v>202</v>
      </c>
      <c r="J190" t="s">
        <v>75</v>
      </c>
      <c r="K190" t="s">
        <v>81</v>
      </c>
      <c r="L190" t="s">
        <v>202</v>
      </c>
      <c r="N190">
        <v>0</v>
      </c>
      <c r="O190" s="1">
        <v>46049.527546296296</v>
      </c>
      <c r="P190" t="s">
        <v>82</v>
      </c>
      <c r="Q190" t="s">
        <v>69</v>
      </c>
      <c r="R190" t="s">
        <v>151</v>
      </c>
    </row>
    <row r="191" spans="1:18" ht="15" customHeight="1">
      <c r="A191" t="s">
        <v>555</v>
      </c>
      <c r="B191" s="1">
        <v>46048.484571759262</v>
      </c>
      <c r="C191" t="s">
        <v>61</v>
      </c>
      <c r="D191" t="s">
        <v>9</v>
      </c>
      <c r="E191" t="s">
        <v>63</v>
      </c>
      <c r="H191" s="2" t="s">
        <v>556</v>
      </c>
      <c r="I191" t="s">
        <v>353</v>
      </c>
      <c r="J191" t="s">
        <v>75</v>
      </c>
      <c r="K191" t="s">
        <v>76</v>
      </c>
      <c r="L191" t="s">
        <v>353</v>
      </c>
      <c r="N191">
        <v>1</v>
      </c>
      <c r="O191" s="1">
        <v>46048.487013888887</v>
      </c>
      <c r="Q191" t="s">
        <v>69</v>
      </c>
      <c r="R191" t="s">
        <v>77</v>
      </c>
    </row>
    <row r="192" spans="1:18" ht="15" customHeight="1">
      <c r="A192" t="s">
        <v>557</v>
      </c>
      <c r="B192" s="1">
        <v>46048.50540509259</v>
      </c>
      <c r="C192" t="s">
        <v>94</v>
      </c>
      <c r="D192" t="s">
        <v>9</v>
      </c>
      <c r="E192" t="s">
        <v>1</v>
      </c>
      <c r="F192" t="s">
        <v>37</v>
      </c>
      <c r="G192" t="s">
        <v>19</v>
      </c>
      <c r="H192" s="2" t="s">
        <v>558</v>
      </c>
      <c r="I192" t="s">
        <v>118</v>
      </c>
      <c r="J192" t="s">
        <v>75</v>
      </c>
      <c r="K192" t="s">
        <v>76</v>
      </c>
      <c r="L192" t="s">
        <v>118</v>
      </c>
      <c r="N192">
        <v>0</v>
      </c>
      <c r="P192" t="s">
        <v>97</v>
      </c>
      <c r="Q192" t="s">
        <v>98</v>
      </c>
      <c r="R192" t="s">
        <v>118</v>
      </c>
    </row>
    <row r="193" spans="1:18" ht="15" customHeight="1">
      <c r="A193" t="s">
        <v>559</v>
      </c>
      <c r="B193" s="1">
        <v>46048.591168981482</v>
      </c>
      <c r="C193" t="s">
        <v>61</v>
      </c>
      <c r="D193" t="s">
        <v>9</v>
      </c>
      <c r="E193" t="s">
        <v>63</v>
      </c>
      <c r="H193" s="2" t="s">
        <v>188</v>
      </c>
      <c r="I193" t="s">
        <v>86</v>
      </c>
      <c r="J193" t="s">
        <v>75</v>
      </c>
      <c r="K193" t="s">
        <v>76</v>
      </c>
      <c r="L193" t="s">
        <v>86</v>
      </c>
      <c r="N193">
        <v>1</v>
      </c>
      <c r="O193" s="1">
        <v>46048.591770833336</v>
      </c>
      <c r="Q193" t="s">
        <v>141</v>
      </c>
      <c r="R193" t="s">
        <v>110</v>
      </c>
    </row>
    <row r="194" spans="1:18" ht="15" customHeight="1">
      <c r="A194" t="s">
        <v>560</v>
      </c>
      <c r="B194" s="1">
        <v>46048.637372685182</v>
      </c>
      <c r="C194" t="s">
        <v>61</v>
      </c>
      <c r="D194" t="s">
        <v>9</v>
      </c>
      <c r="E194" t="s">
        <v>63</v>
      </c>
      <c r="H194" t="s">
        <v>171</v>
      </c>
      <c r="I194" t="s">
        <v>175</v>
      </c>
      <c r="J194" t="s">
        <v>75</v>
      </c>
      <c r="K194" t="s">
        <v>76</v>
      </c>
      <c r="L194" t="s">
        <v>175</v>
      </c>
      <c r="N194">
        <v>1</v>
      </c>
      <c r="O194" s="1">
        <v>46048.63821759259</v>
      </c>
      <c r="Q194" t="s">
        <v>69</v>
      </c>
      <c r="R194" t="s">
        <v>77</v>
      </c>
    </row>
    <row r="195" spans="1:18" ht="15" customHeight="1">
      <c r="A195" t="s">
        <v>561</v>
      </c>
      <c r="B195" s="1">
        <v>46048.637789351851</v>
      </c>
      <c r="C195" t="s">
        <v>61</v>
      </c>
      <c r="D195" t="s">
        <v>9</v>
      </c>
      <c r="E195" t="s">
        <v>63</v>
      </c>
      <c r="H195" s="2" t="s">
        <v>188</v>
      </c>
      <c r="I195" t="s">
        <v>562</v>
      </c>
      <c r="J195" t="s">
        <v>75</v>
      </c>
      <c r="K195" t="s">
        <v>76</v>
      </c>
      <c r="L195" t="s">
        <v>562</v>
      </c>
      <c r="N195">
        <v>1</v>
      </c>
      <c r="O195" s="1">
        <v>46048.638518518521</v>
      </c>
      <c r="Q195" t="s">
        <v>141</v>
      </c>
      <c r="R195" t="s">
        <v>110</v>
      </c>
    </row>
    <row r="196" spans="1:18" ht="15" customHeight="1">
      <c r="A196" t="s">
        <v>563</v>
      </c>
      <c r="B196" s="1">
        <v>46049.358402777776</v>
      </c>
      <c r="C196" t="s">
        <v>61</v>
      </c>
      <c r="D196" t="s">
        <v>9</v>
      </c>
      <c r="E196" t="s">
        <v>1</v>
      </c>
      <c r="F196" t="s">
        <v>37</v>
      </c>
      <c r="G196" t="s">
        <v>17</v>
      </c>
      <c r="H196" s="2" t="s">
        <v>564</v>
      </c>
      <c r="I196" t="s">
        <v>118</v>
      </c>
      <c r="J196" t="s">
        <v>96</v>
      </c>
      <c r="K196" t="s">
        <v>76</v>
      </c>
      <c r="L196" t="s">
        <v>118</v>
      </c>
      <c r="N196">
        <v>0</v>
      </c>
      <c r="O196" s="1">
        <v>46057.408715277779</v>
      </c>
      <c r="P196" t="s">
        <v>97</v>
      </c>
      <c r="Q196" t="s">
        <v>211</v>
      </c>
      <c r="R196" t="s">
        <v>118</v>
      </c>
    </row>
    <row r="197" spans="1:18" ht="15" customHeight="1">
      <c r="A197" t="s">
        <v>565</v>
      </c>
      <c r="B197" s="1">
        <v>46049.437719907408</v>
      </c>
      <c r="C197" t="s">
        <v>61</v>
      </c>
      <c r="D197" t="s">
        <v>9</v>
      </c>
      <c r="E197" t="s">
        <v>63</v>
      </c>
      <c r="H197" s="2" t="s">
        <v>566</v>
      </c>
      <c r="I197" t="s">
        <v>567</v>
      </c>
      <c r="J197" t="s">
        <v>75</v>
      </c>
      <c r="K197" t="s">
        <v>76</v>
      </c>
      <c r="L197" t="s">
        <v>567</v>
      </c>
      <c r="N197">
        <v>1</v>
      </c>
      <c r="O197" s="1">
        <v>46049.439849537041</v>
      </c>
      <c r="Q197" t="s">
        <v>176</v>
      </c>
      <c r="R197" t="s">
        <v>125</v>
      </c>
    </row>
    <row r="198" spans="1:18" ht="15" customHeight="1">
      <c r="A198" t="s">
        <v>568</v>
      </c>
      <c r="B198" s="1">
        <v>46049.589305555557</v>
      </c>
      <c r="C198" t="s">
        <v>61</v>
      </c>
      <c r="D198" t="s">
        <v>9</v>
      </c>
      <c r="E198" t="s">
        <v>1</v>
      </c>
      <c r="F198" t="s">
        <v>41</v>
      </c>
      <c r="G198" t="s">
        <v>18</v>
      </c>
      <c r="H198" s="2" t="s">
        <v>569</v>
      </c>
      <c r="I198" t="s">
        <v>118</v>
      </c>
      <c r="J198" t="s">
        <v>75</v>
      </c>
      <c r="K198" t="s">
        <v>76</v>
      </c>
      <c r="L198" t="s">
        <v>118</v>
      </c>
      <c r="N198">
        <v>0</v>
      </c>
      <c r="O198" s="1">
        <v>46057.407986111109</v>
      </c>
      <c r="P198" t="s">
        <v>97</v>
      </c>
      <c r="Q198" t="s">
        <v>117</v>
      </c>
      <c r="R198" t="s">
        <v>118</v>
      </c>
    </row>
    <row r="199" spans="1:18" ht="15" customHeight="1">
      <c r="A199" t="s">
        <v>570</v>
      </c>
      <c r="B199" s="1">
        <v>46049.59946759259</v>
      </c>
      <c r="C199" t="s">
        <v>549</v>
      </c>
      <c r="D199" t="s">
        <v>9</v>
      </c>
      <c r="E199" t="s">
        <v>1</v>
      </c>
      <c r="F199" t="s">
        <v>27</v>
      </c>
      <c r="G199" t="s">
        <v>14</v>
      </c>
      <c r="H199" s="2" t="s">
        <v>571</v>
      </c>
      <c r="I199" t="s">
        <v>210</v>
      </c>
      <c r="J199" t="s">
        <v>75</v>
      </c>
      <c r="K199" t="s">
        <v>76</v>
      </c>
      <c r="L199" t="s">
        <v>210</v>
      </c>
      <c r="N199">
        <v>0</v>
      </c>
      <c r="O199" s="1">
        <v>46050.418391203704</v>
      </c>
      <c r="P199" t="s">
        <v>82</v>
      </c>
      <c r="R199" t="s">
        <v>210</v>
      </c>
    </row>
    <row r="200" spans="1:18" ht="15" customHeight="1">
      <c r="A200" t="s">
        <v>572</v>
      </c>
      <c r="B200" s="1">
        <v>46049.615046296298</v>
      </c>
      <c r="C200" t="s">
        <v>61</v>
      </c>
      <c r="D200" t="s">
        <v>9</v>
      </c>
      <c r="E200" t="s">
        <v>1</v>
      </c>
      <c r="F200" t="s">
        <v>32</v>
      </c>
      <c r="G200" t="s">
        <v>14</v>
      </c>
      <c r="H200" t="s">
        <v>573</v>
      </c>
      <c r="I200" t="s">
        <v>395</v>
      </c>
      <c r="J200" t="s">
        <v>75</v>
      </c>
      <c r="K200" t="s">
        <v>81</v>
      </c>
      <c r="L200" t="s">
        <v>395</v>
      </c>
      <c r="N200">
        <v>0</v>
      </c>
      <c r="O200" s="1">
        <v>46056.764999999999</v>
      </c>
      <c r="P200" t="s">
        <v>82</v>
      </c>
      <c r="Q200" t="s">
        <v>69</v>
      </c>
      <c r="R200" t="s">
        <v>83</v>
      </c>
    </row>
    <row r="201" spans="1:18" ht="15" customHeight="1">
      <c r="A201" t="s">
        <v>574</v>
      </c>
      <c r="B201" s="1">
        <v>46049.624513888892</v>
      </c>
      <c r="C201" t="s">
        <v>61</v>
      </c>
      <c r="D201" t="s">
        <v>9</v>
      </c>
      <c r="E201" t="s">
        <v>1</v>
      </c>
      <c r="F201" t="s">
        <v>31</v>
      </c>
      <c r="G201" t="s">
        <v>11</v>
      </c>
      <c r="H201" t="s">
        <v>575</v>
      </c>
      <c r="I201" t="s">
        <v>576</v>
      </c>
      <c r="J201" t="s">
        <v>75</v>
      </c>
      <c r="K201" t="s">
        <v>81</v>
      </c>
      <c r="L201" t="s">
        <v>576</v>
      </c>
      <c r="N201">
        <v>0</v>
      </c>
      <c r="O201" s="1">
        <v>46051.345555555556</v>
      </c>
      <c r="P201" t="s">
        <v>82</v>
      </c>
      <c r="Q201" t="s">
        <v>69</v>
      </c>
      <c r="R201" t="s">
        <v>83</v>
      </c>
    </row>
    <row r="202" spans="1:18" ht="15" customHeight="1">
      <c r="A202" t="s">
        <v>577</v>
      </c>
      <c r="B202" s="1">
        <v>46049.634421296294</v>
      </c>
      <c r="C202" t="s">
        <v>549</v>
      </c>
      <c r="D202" t="s">
        <v>9</v>
      </c>
      <c r="E202" t="s">
        <v>1</v>
      </c>
      <c r="F202" t="s">
        <v>27</v>
      </c>
      <c r="G202" t="s">
        <v>14</v>
      </c>
      <c r="H202" t="s">
        <v>578</v>
      </c>
      <c r="I202" t="s">
        <v>86</v>
      </c>
      <c r="J202" t="s">
        <v>75</v>
      </c>
      <c r="K202" t="s">
        <v>81</v>
      </c>
      <c r="L202" t="s">
        <v>86</v>
      </c>
      <c r="N202">
        <v>0</v>
      </c>
      <c r="O202" s="1">
        <v>46050.417222222219</v>
      </c>
      <c r="P202" t="s">
        <v>82</v>
      </c>
      <c r="R202" t="s">
        <v>83</v>
      </c>
    </row>
    <row r="203" spans="1:18" ht="15" customHeight="1">
      <c r="A203" t="s">
        <v>579</v>
      </c>
      <c r="B203" s="1">
        <v>46049.63685185185</v>
      </c>
      <c r="C203" t="s">
        <v>184</v>
      </c>
      <c r="D203" t="s">
        <v>9</v>
      </c>
      <c r="E203" t="s">
        <v>1</v>
      </c>
      <c r="F203" t="s">
        <v>27</v>
      </c>
      <c r="G203" t="s">
        <v>11</v>
      </c>
      <c r="H203" t="s">
        <v>580</v>
      </c>
      <c r="I203" t="s">
        <v>581</v>
      </c>
      <c r="J203" t="s">
        <v>75</v>
      </c>
      <c r="K203" t="s">
        <v>81</v>
      </c>
      <c r="L203" t="s">
        <v>581</v>
      </c>
      <c r="N203">
        <v>0</v>
      </c>
      <c r="P203" t="s">
        <v>97</v>
      </c>
      <c r="R203" t="s">
        <v>83</v>
      </c>
    </row>
    <row r="204" spans="1:18" ht="15" customHeight="1">
      <c r="A204" t="s">
        <v>582</v>
      </c>
      <c r="B204" s="1">
        <v>46049.645324074074</v>
      </c>
      <c r="C204" t="s">
        <v>61</v>
      </c>
      <c r="D204" t="s">
        <v>9</v>
      </c>
      <c r="E204" t="s">
        <v>1</v>
      </c>
      <c r="F204" t="s">
        <v>27</v>
      </c>
      <c r="G204" t="s">
        <v>14</v>
      </c>
      <c r="H204" s="2" t="s">
        <v>583</v>
      </c>
      <c r="I204" t="s">
        <v>581</v>
      </c>
      <c r="J204" t="s">
        <v>75</v>
      </c>
      <c r="K204" t="s">
        <v>81</v>
      </c>
      <c r="L204" t="s">
        <v>581</v>
      </c>
      <c r="N204">
        <v>0</v>
      </c>
      <c r="O204" s="1">
        <v>46064.320081018515</v>
      </c>
      <c r="P204" t="s">
        <v>97</v>
      </c>
      <c r="Q204" t="s">
        <v>69</v>
      </c>
      <c r="R204" t="s">
        <v>125</v>
      </c>
    </row>
    <row r="205" spans="1:18" ht="15" customHeight="1">
      <c r="A205" t="s">
        <v>584</v>
      </c>
      <c r="B205" s="1">
        <v>46049.704699074071</v>
      </c>
      <c r="C205" t="s">
        <v>61</v>
      </c>
      <c r="D205" t="s">
        <v>9</v>
      </c>
      <c r="E205" t="s">
        <v>1</v>
      </c>
      <c r="F205" t="s">
        <v>37</v>
      </c>
      <c r="G205" t="s">
        <v>19</v>
      </c>
      <c r="H205" s="2" t="s">
        <v>585</v>
      </c>
      <c r="I205" t="s">
        <v>586</v>
      </c>
      <c r="J205" t="s">
        <v>75</v>
      </c>
      <c r="K205" t="s">
        <v>81</v>
      </c>
      <c r="L205" t="s">
        <v>586</v>
      </c>
      <c r="N205">
        <v>0</v>
      </c>
      <c r="O205" s="1">
        <v>46052.317002314812</v>
      </c>
      <c r="P205" t="s">
        <v>82</v>
      </c>
      <c r="Q205" t="s">
        <v>98</v>
      </c>
      <c r="R205" t="s">
        <v>125</v>
      </c>
    </row>
    <row r="206" spans="1:18" ht="15" customHeight="1">
      <c r="A206" t="s">
        <v>587</v>
      </c>
      <c r="B206" s="1">
        <v>46049.708043981482</v>
      </c>
      <c r="C206" t="s">
        <v>61</v>
      </c>
      <c r="D206" t="s">
        <v>9</v>
      </c>
      <c r="E206" t="s">
        <v>1</v>
      </c>
      <c r="F206" t="s">
        <v>26</v>
      </c>
      <c r="G206" t="s">
        <v>14</v>
      </c>
      <c r="H206" s="2" t="s">
        <v>588</v>
      </c>
      <c r="I206" t="s">
        <v>214</v>
      </c>
      <c r="J206" t="s">
        <v>75</v>
      </c>
      <c r="K206" t="s">
        <v>81</v>
      </c>
      <c r="L206" t="s">
        <v>214</v>
      </c>
      <c r="N206">
        <v>0</v>
      </c>
      <c r="O206" s="1">
        <v>46056.412627314814</v>
      </c>
      <c r="P206" t="s">
        <v>82</v>
      </c>
      <c r="Q206" t="s">
        <v>117</v>
      </c>
      <c r="R206" t="s">
        <v>589</v>
      </c>
    </row>
    <row r="207" spans="1:18" ht="15" customHeight="1">
      <c r="A207" t="s">
        <v>590</v>
      </c>
      <c r="B207" s="1">
        <v>46049.792881944442</v>
      </c>
      <c r="C207" t="s">
        <v>61</v>
      </c>
      <c r="D207" t="s">
        <v>9</v>
      </c>
      <c r="E207" t="s">
        <v>1</v>
      </c>
      <c r="F207" t="s">
        <v>37</v>
      </c>
      <c r="G207" t="s">
        <v>20</v>
      </c>
      <c r="H207" s="2" t="s">
        <v>591</v>
      </c>
      <c r="I207" t="s">
        <v>432</v>
      </c>
      <c r="J207" t="s">
        <v>75</v>
      </c>
      <c r="K207" t="s">
        <v>81</v>
      </c>
      <c r="L207" t="s">
        <v>432</v>
      </c>
      <c r="N207">
        <v>0</v>
      </c>
      <c r="O207" s="1">
        <v>46064.319398148145</v>
      </c>
      <c r="P207" t="s">
        <v>97</v>
      </c>
      <c r="Q207" t="s">
        <v>211</v>
      </c>
      <c r="R207" t="s">
        <v>155</v>
      </c>
    </row>
    <row r="208" spans="1:18" ht="15" customHeight="1">
      <c r="A208" t="s">
        <v>592</v>
      </c>
      <c r="B208" s="1">
        <v>46049.797291666669</v>
      </c>
      <c r="C208" t="s">
        <v>61</v>
      </c>
      <c r="D208" t="s">
        <v>9</v>
      </c>
      <c r="E208" t="s">
        <v>1</v>
      </c>
      <c r="F208" t="s">
        <v>37</v>
      </c>
      <c r="G208" t="s">
        <v>20</v>
      </c>
      <c r="H208" s="2" t="s">
        <v>593</v>
      </c>
      <c r="I208" t="s">
        <v>432</v>
      </c>
      <c r="J208" t="s">
        <v>75</v>
      </c>
      <c r="K208" t="s">
        <v>81</v>
      </c>
      <c r="L208" t="s">
        <v>432</v>
      </c>
      <c r="N208">
        <v>0</v>
      </c>
      <c r="O208" s="1">
        <v>46057.403865740744</v>
      </c>
      <c r="P208" t="s">
        <v>97</v>
      </c>
      <c r="Q208" t="s">
        <v>211</v>
      </c>
      <c r="R208" t="s">
        <v>155</v>
      </c>
    </row>
    <row r="209" spans="1:18" ht="15" customHeight="1">
      <c r="A209" t="s">
        <v>594</v>
      </c>
      <c r="B209" s="1">
        <v>46049.807523148149</v>
      </c>
      <c r="C209" t="s">
        <v>61</v>
      </c>
      <c r="D209" t="s">
        <v>9</v>
      </c>
      <c r="E209" t="s">
        <v>1</v>
      </c>
      <c r="F209" t="s">
        <v>37</v>
      </c>
      <c r="G209" t="s">
        <v>14</v>
      </c>
      <c r="H209" s="2" t="s">
        <v>595</v>
      </c>
      <c r="I209" t="s">
        <v>154</v>
      </c>
      <c r="J209" t="s">
        <v>75</v>
      </c>
      <c r="K209" t="s">
        <v>81</v>
      </c>
      <c r="L209" t="s">
        <v>154</v>
      </c>
      <c r="N209">
        <v>0</v>
      </c>
      <c r="O209" s="1">
        <v>46059.316284722219</v>
      </c>
      <c r="P209" t="s">
        <v>97</v>
      </c>
      <c r="Q209" t="s">
        <v>69</v>
      </c>
      <c r="R209" t="s">
        <v>155</v>
      </c>
    </row>
    <row r="210" spans="1:18" ht="15" customHeight="1">
      <c r="A210" t="s">
        <v>596</v>
      </c>
      <c r="B210" s="1">
        <v>46049.820601851854</v>
      </c>
      <c r="C210" t="s">
        <v>165</v>
      </c>
      <c r="D210" t="s">
        <v>9</v>
      </c>
      <c r="E210" t="s">
        <v>1</v>
      </c>
      <c r="F210" t="s">
        <v>26</v>
      </c>
      <c r="G210" t="s">
        <v>14</v>
      </c>
      <c r="H210" s="2" t="s">
        <v>597</v>
      </c>
      <c r="I210" t="s">
        <v>214</v>
      </c>
      <c r="J210" t="s">
        <v>75</v>
      </c>
      <c r="K210" t="s">
        <v>81</v>
      </c>
      <c r="L210" t="s">
        <v>214</v>
      </c>
      <c r="N210">
        <v>0</v>
      </c>
      <c r="P210" t="s">
        <v>82</v>
      </c>
      <c r="R210" t="s">
        <v>155</v>
      </c>
    </row>
    <row r="211" spans="1:18" ht="15" customHeight="1">
      <c r="A211" t="s">
        <v>598</v>
      </c>
      <c r="B211" s="1">
        <v>46050.386793981481</v>
      </c>
      <c r="C211" t="s">
        <v>61</v>
      </c>
      <c r="D211" t="s">
        <v>9</v>
      </c>
      <c r="E211" t="s">
        <v>1</v>
      </c>
      <c r="F211" t="s">
        <v>37</v>
      </c>
      <c r="G211" t="s">
        <v>19</v>
      </c>
      <c r="H211" t="s">
        <v>599</v>
      </c>
      <c r="I211" t="s">
        <v>600</v>
      </c>
      <c r="J211" t="s">
        <v>75</v>
      </c>
      <c r="K211" t="s">
        <v>81</v>
      </c>
      <c r="L211" t="s">
        <v>600</v>
      </c>
      <c r="N211">
        <v>0</v>
      </c>
      <c r="O211" s="1">
        <v>46062.463819444441</v>
      </c>
      <c r="P211" t="s">
        <v>97</v>
      </c>
      <c r="Q211" t="s">
        <v>98</v>
      </c>
      <c r="R211" t="s">
        <v>83</v>
      </c>
    </row>
    <row r="212" spans="1:18" ht="15" customHeight="1">
      <c r="A212" t="s">
        <v>601</v>
      </c>
      <c r="B212" s="1">
        <v>46050.389097222222</v>
      </c>
      <c r="C212" t="s">
        <v>61</v>
      </c>
      <c r="D212" t="s">
        <v>9</v>
      </c>
      <c r="E212" t="s">
        <v>1</v>
      </c>
      <c r="F212" t="s">
        <v>27</v>
      </c>
      <c r="G212" t="s">
        <v>11</v>
      </c>
      <c r="H212" s="2" t="s">
        <v>602</v>
      </c>
      <c r="I212" t="s">
        <v>581</v>
      </c>
      <c r="J212" t="s">
        <v>75</v>
      </c>
      <c r="K212" t="s">
        <v>81</v>
      </c>
      <c r="L212" t="s">
        <v>581</v>
      </c>
      <c r="N212">
        <v>0</v>
      </c>
      <c r="O212" s="1">
        <v>46051.663391203707</v>
      </c>
      <c r="P212" t="s">
        <v>82</v>
      </c>
      <c r="Q212" t="s">
        <v>69</v>
      </c>
      <c r="R212" t="s">
        <v>77</v>
      </c>
    </row>
    <row r="213" spans="1:18" ht="15" customHeight="1">
      <c r="A213" t="s">
        <v>603</v>
      </c>
      <c r="B213" s="1">
        <v>46050.429212962961</v>
      </c>
      <c r="C213" t="s">
        <v>294</v>
      </c>
      <c r="D213" t="s">
        <v>9</v>
      </c>
      <c r="E213" t="s">
        <v>1</v>
      </c>
      <c r="F213" t="s">
        <v>27</v>
      </c>
      <c r="G213" t="s">
        <v>11</v>
      </c>
      <c r="H213" s="2" t="s">
        <v>604</v>
      </c>
      <c r="I213" t="s">
        <v>581</v>
      </c>
      <c r="J213" t="s">
        <v>75</v>
      </c>
      <c r="K213" t="s">
        <v>76</v>
      </c>
      <c r="L213" t="s">
        <v>581</v>
      </c>
      <c r="N213">
        <v>0</v>
      </c>
      <c r="P213" t="s">
        <v>97</v>
      </c>
      <c r="Q213" t="s">
        <v>117</v>
      </c>
      <c r="R213" t="s">
        <v>125</v>
      </c>
    </row>
    <row r="214" spans="1:18" ht="15" customHeight="1">
      <c r="A214" t="s">
        <v>605</v>
      </c>
      <c r="B214" s="1">
        <v>46050.466898148145</v>
      </c>
      <c r="C214" t="s">
        <v>61</v>
      </c>
      <c r="D214" t="s">
        <v>9</v>
      </c>
      <c r="E214" t="s">
        <v>1</v>
      </c>
      <c r="F214" t="s">
        <v>36</v>
      </c>
      <c r="G214" t="s">
        <v>14</v>
      </c>
      <c r="H214" s="2" t="s">
        <v>606</v>
      </c>
      <c r="I214" t="s">
        <v>337</v>
      </c>
      <c r="J214" t="s">
        <v>75</v>
      </c>
      <c r="K214" t="s">
        <v>81</v>
      </c>
      <c r="L214" t="s">
        <v>337</v>
      </c>
      <c r="N214">
        <v>0</v>
      </c>
      <c r="O214" s="1">
        <v>46051.361203703702</v>
      </c>
      <c r="P214" t="s">
        <v>82</v>
      </c>
      <c r="Q214" t="s">
        <v>69</v>
      </c>
      <c r="R214" t="s">
        <v>125</v>
      </c>
    </row>
    <row r="215" spans="1:18" ht="15" customHeight="1">
      <c r="A215" t="s">
        <v>607</v>
      </c>
      <c r="B215" s="1">
        <v>46050.509293981479</v>
      </c>
      <c r="C215" t="s">
        <v>61</v>
      </c>
      <c r="D215" t="s">
        <v>9</v>
      </c>
      <c r="E215" t="s">
        <v>1</v>
      </c>
      <c r="F215" t="s">
        <v>37</v>
      </c>
      <c r="G215" t="s">
        <v>12</v>
      </c>
      <c r="H215" t="s">
        <v>608</v>
      </c>
      <c r="I215" t="s">
        <v>134</v>
      </c>
      <c r="J215" t="s">
        <v>75</v>
      </c>
      <c r="K215" t="s">
        <v>81</v>
      </c>
      <c r="L215" t="s">
        <v>134</v>
      </c>
      <c r="N215">
        <v>0</v>
      </c>
      <c r="O215" s="1">
        <v>46051.407951388886</v>
      </c>
      <c r="P215" t="s">
        <v>82</v>
      </c>
      <c r="Q215" t="s">
        <v>211</v>
      </c>
      <c r="R215" t="s">
        <v>83</v>
      </c>
    </row>
    <row r="216" spans="1:18" ht="15" customHeight="1">
      <c r="A216" t="s">
        <v>609</v>
      </c>
      <c r="B216" s="1">
        <v>46050.512337962966</v>
      </c>
      <c r="C216" t="s">
        <v>61</v>
      </c>
      <c r="D216" t="s">
        <v>9</v>
      </c>
      <c r="E216" t="s">
        <v>1</v>
      </c>
      <c r="F216" t="s">
        <v>37</v>
      </c>
      <c r="G216" t="s">
        <v>21</v>
      </c>
      <c r="H216" t="s">
        <v>610</v>
      </c>
      <c r="I216" t="s">
        <v>154</v>
      </c>
      <c r="J216" t="s">
        <v>75</v>
      </c>
      <c r="K216" t="s">
        <v>81</v>
      </c>
      <c r="L216" t="s">
        <v>154</v>
      </c>
      <c r="N216">
        <v>0</v>
      </c>
      <c r="O216" s="1">
        <v>46052.401354166665</v>
      </c>
      <c r="P216" t="s">
        <v>82</v>
      </c>
      <c r="Q216" t="s">
        <v>211</v>
      </c>
      <c r="R216" t="s">
        <v>83</v>
      </c>
    </row>
    <row r="217" spans="1:18" ht="15" customHeight="1">
      <c r="A217" t="s">
        <v>611</v>
      </c>
      <c r="B217" s="1">
        <v>46050.513148148151</v>
      </c>
      <c r="C217" t="s">
        <v>61</v>
      </c>
      <c r="D217" t="s">
        <v>9</v>
      </c>
      <c r="E217" t="s">
        <v>1</v>
      </c>
      <c r="F217" t="s">
        <v>37</v>
      </c>
      <c r="G217" t="s">
        <v>21</v>
      </c>
      <c r="H217" t="s">
        <v>612</v>
      </c>
      <c r="I217" t="s">
        <v>154</v>
      </c>
      <c r="J217" t="s">
        <v>75</v>
      </c>
      <c r="K217" t="s">
        <v>81</v>
      </c>
      <c r="L217" t="s">
        <v>154</v>
      </c>
      <c r="N217">
        <v>0</v>
      </c>
      <c r="O217" s="1">
        <v>46052.403194444443</v>
      </c>
      <c r="P217" t="s">
        <v>82</v>
      </c>
      <c r="Q217" t="s">
        <v>211</v>
      </c>
      <c r="R217" t="s">
        <v>83</v>
      </c>
    </row>
    <row r="218" spans="1:18" ht="15" customHeight="1">
      <c r="A218" t="s">
        <v>613</v>
      </c>
      <c r="B218" s="1">
        <v>46050.517245370371</v>
      </c>
      <c r="C218" t="s">
        <v>94</v>
      </c>
      <c r="D218" t="s">
        <v>9</v>
      </c>
      <c r="E218" t="s">
        <v>1</v>
      </c>
      <c r="F218" t="s">
        <v>32</v>
      </c>
      <c r="G218" t="s">
        <v>11</v>
      </c>
      <c r="H218" t="s">
        <v>614</v>
      </c>
      <c r="I218" t="s">
        <v>395</v>
      </c>
      <c r="J218" t="s">
        <v>75</v>
      </c>
      <c r="K218" t="s">
        <v>81</v>
      </c>
      <c r="L218" t="s">
        <v>395</v>
      </c>
      <c r="N218">
        <v>0</v>
      </c>
      <c r="P218" t="s">
        <v>97</v>
      </c>
      <c r="R218" t="s">
        <v>83</v>
      </c>
    </row>
    <row r="219" spans="1:18" ht="15" customHeight="1">
      <c r="A219" t="s">
        <v>615</v>
      </c>
      <c r="B219" s="1">
        <v>46050.51866898148</v>
      </c>
      <c r="C219" t="s">
        <v>61</v>
      </c>
      <c r="D219" t="s">
        <v>9</v>
      </c>
      <c r="E219" t="s">
        <v>1</v>
      </c>
      <c r="F219" t="s">
        <v>37</v>
      </c>
      <c r="G219" t="s">
        <v>20</v>
      </c>
      <c r="H219" t="s">
        <v>616</v>
      </c>
      <c r="I219" t="s">
        <v>432</v>
      </c>
      <c r="J219" t="s">
        <v>75</v>
      </c>
      <c r="K219" t="s">
        <v>81</v>
      </c>
      <c r="L219" t="s">
        <v>432</v>
      </c>
      <c r="N219">
        <v>0</v>
      </c>
      <c r="O219" s="1">
        <v>46052.323842592596</v>
      </c>
      <c r="P219" t="s">
        <v>82</v>
      </c>
      <c r="Q219" t="s">
        <v>69</v>
      </c>
      <c r="R219" t="s">
        <v>83</v>
      </c>
    </row>
    <row r="220" spans="1:18" ht="15" customHeight="1">
      <c r="A220" t="s">
        <v>617</v>
      </c>
      <c r="B220" s="1">
        <v>46050.588229166664</v>
      </c>
      <c r="C220" t="s">
        <v>61</v>
      </c>
      <c r="D220" t="s">
        <v>9</v>
      </c>
      <c r="E220" t="s">
        <v>63</v>
      </c>
      <c r="H220" t="s">
        <v>171</v>
      </c>
      <c r="I220" t="s">
        <v>269</v>
      </c>
      <c r="J220" t="s">
        <v>75</v>
      </c>
      <c r="K220" t="s">
        <v>76</v>
      </c>
      <c r="L220" t="s">
        <v>269</v>
      </c>
      <c r="N220">
        <v>1</v>
      </c>
      <c r="O220" s="1">
        <v>46050.589942129627</v>
      </c>
      <c r="Q220" t="s">
        <v>69</v>
      </c>
      <c r="R220" t="s">
        <v>354</v>
      </c>
    </row>
    <row r="221" spans="1:18" ht="15" customHeight="1">
      <c r="A221" t="s">
        <v>618</v>
      </c>
      <c r="B221" s="1">
        <v>46050.624826388892</v>
      </c>
      <c r="C221" t="s">
        <v>61</v>
      </c>
      <c r="D221" t="s">
        <v>9</v>
      </c>
      <c r="E221" t="s">
        <v>1</v>
      </c>
      <c r="F221" t="s">
        <v>27</v>
      </c>
      <c r="G221" t="s">
        <v>14</v>
      </c>
      <c r="H221" t="s">
        <v>619</v>
      </c>
      <c r="I221" t="s">
        <v>581</v>
      </c>
      <c r="J221" t="s">
        <v>75</v>
      </c>
      <c r="K221" t="s">
        <v>81</v>
      </c>
      <c r="L221" t="s">
        <v>581</v>
      </c>
      <c r="N221">
        <v>0</v>
      </c>
      <c r="O221" s="1">
        <v>46057.406574074077</v>
      </c>
      <c r="P221" t="s">
        <v>97</v>
      </c>
      <c r="Q221" t="s">
        <v>69</v>
      </c>
      <c r="R221" t="s">
        <v>92</v>
      </c>
    </row>
    <row r="222" spans="1:18" ht="15" customHeight="1">
      <c r="A222" t="s">
        <v>620</v>
      </c>
      <c r="B222" s="1">
        <v>46050.631990740738</v>
      </c>
      <c r="C222" t="s">
        <v>184</v>
      </c>
      <c r="D222" t="s">
        <v>9</v>
      </c>
      <c r="E222" t="s">
        <v>1</v>
      </c>
      <c r="F222" t="s">
        <v>27</v>
      </c>
      <c r="G222" t="s">
        <v>11</v>
      </c>
      <c r="H222" s="2" t="s">
        <v>621</v>
      </c>
      <c r="I222" t="s">
        <v>581</v>
      </c>
      <c r="J222" t="s">
        <v>75</v>
      </c>
      <c r="K222" t="s">
        <v>81</v>
      </c>
      <c r="L222" t="s">
        <v>581</v>
      </c>
      <c r="N222">
        <v>0</v>
      </c>
      <c r="P222" t="s">
        <v>97</v>
      </c>
      <c r="R222" t="s">
        <v>92</v>
      </c>
    </row>
    <row r="223" spans="1:18" ht="15" customHeight="1">
      <c r="A223" t="s">
        <v>622</v>
      </c>
      <c r="B223" s="1">
        <v>46050.643263888887</v>
      </c>
      <c r="C223" t="s">
        <v>61</v>
      </c>
      <c r="D223" t="s">
        <v>9</v>
      </c>
      <c r="E223" t="s">
        <v>63</v>
      </c>
      <c r="H223" s="2" t="s">
        <v>623</v>
      </c>
      <c r="I223" t="s">
        <v>624</v>
      </c>
      <c r="J223" t="s">
        <v>75</v>
      </c>
      <c r="K223" t="s">
        <v>76</v>
      </c>
      <c r="L223" t="s">
        <v>624</v>
      </c>
      <c r="N223">
        <v>0</v>
      </c>
      <c r="O223" s="1">
        <v>46052.477060185185</v>
      </c>
      <c r="P223" t="s">
        <v>91</v>
      </c>
      <c r="Q223" t="s">
        <v>69</v>
      </c>
      <c r="R223" t="s">
        <v>589</v>
      </c>
    </row>
    <row r="224" spans="1:18" ht="15" customHeight="1">
      <c r="A224" t="s">
        <v>625</v>
      </c>
      <c r="B224" s="1">
        <v>46050.667766203704</v>
      </c>
      <c r="C224" t="s">
        <v>61</v>
      </c>
      <c r="D224" t="s">
        <v>9</v>
      </c>
      <c r="E224" t="s">
        <v>1</v>
      </c>
      <c r="F224" t="s">
        <v>36</v>
      </c>
      <c r="G224" t="s">
        <v>11</v>
      </c>
      <c r="H224" s="2" t="s">
        <v>626</v>
      </c>
      <c r="I224" t="s">
        <v>113</v>
      </c>
      <c r="J224" t="s">
        <v>75</v>
      </c>
      <c r="K224" t="s">
        <v>81</v>
      </c>
      <c r="L224" t="s">
        <v>113</v>
      </c>
      <c r="N224">
        <v>0</v>
      </c>
      <c r="O224" s="1">
        <v>46051.371608796297</v>
      </c>
      <c r="P224" t="s">
        <v>82</v>
      </c>
      <c r="Q224" t="s">
        <v>69</v>
      </c>
      <c r="R224" t="s">
        <v>589</v>
      </c>
    </row>
    <row r="225" spans="1:18" ht="15" customHeight="1">
      <c r="A225" t="s">
        <v>627</v>
      </c>
      <c r="B225" s="1">
        <v>46051.40965277778</v>
      </c>
      <c r="C225" t="s">
        <v>61</v>
      </c>
      <c r="D225" t="s">
        <v>9</v>
      </c>
      <c r="E225" t="s">
        <v>1</v>
      </c>
      <c r="F225" t="s">
        <v>28</v>
      </c>
      <c r="G225" t="s">
        <v>21</v>
      </c>
      <c r="H225" s="2" t="s">
        <v>628</v>
      </c>
      <c r="I225" t="s">
        <v>386</v>
      </c>
      <c r="J225" t="s">
        <v>75</v>
      </c>
      <c r="K225" t="s">
        <v>81</v>
      </c>
      <c r="L225" t="s">
        <v>386</v>
      </c>
      <c r="N225">
        <v>0</v>
      </c>
      <c r="O225" s="1">
        <v>46051.471863425926</v>
      </c>
      <c r="P225" t="s">
        <v>82</v>
      </c>
      <c r="Q225" t="s">
        <v>69</v>
      </c>
      <c r="R225" t="s">
        <v>125</v>
      </c>
    </row>
    <row r="226" spans="1:18" ht="15" customHeight="1">
      <c r="A226" t="s">
        <v>629</v>
      </c>
      <c r="B226" s="1">
        <v>46051.438888888886</v>
      </c>
      <c r="C226" t="s">
        <v>61</v>
      </c>
      <c r="D226" t="s">
        <v>9</v>
      </c>
      <c r="E226" t="s">
        <v>63</v>
      </c>
      <c r="H226" t="s">
        <v>171</v>
      </c>
      <c r="I226" t="s">
        <v>140</v>
      </c>
      <c r="J226" t="s">
        <v>75</v>
      </c>
      <c r="K226" t="s">
        <v>76</v>
      </c>
      <c r="L226" t="s">
        <v>140</v>
      </c>
      <c r="N226">
        <v>1</v>
      </c>
      <c r="O226" s="1">
        <v>46051.440046296295</v>
      </c>
      <c r="Q226" t="s">
        <v>141</v>
      </c>
      <c r="R226" t="s">
        <v>77</v>
      </c>
    </row>
    <row r="227" spans="1:18" ht="15" customHeight="1">
      <c r="A227" t="s">
        <v>630</v>
      </c>
      <c r="B227" s="1">
        <v>46051.486655092594</v>
      </c>
      <c r="C227" t="s">
        <v>61</v>
      </c>
      <c r="D227" t="s">
        <v>9</v>
      </c>
      <c r="E227" t="s">
        <v>63</v>
      </c>
      <c r="H227" s="2" t="s">
        <v>631</v>
      </c>
      <c r="I227" t="s">
        <v>221</v>
      </c>
      <c r="J227" t="s">
        <v>75</v>
      </c>
      <c r="K227" t="s">
        <v>76</v>
      </c>
      <c r="L227" t="s">
        <v>221</v>
      </c>
      <c r="N227">
        <v>1</v>
      </c>
      <c r="O227" s="1">
        <v>46051.487430555557</v>
      </c>
      <c r="Q227" t="s">
        <v>69</v>
      </c>
      <c r="R227" t="s">
        <v>105</v>
      </c>
    </row>
    <row r="228" spans="1:18" ht="15" customHeight="1">
      <c r="A228" t="s">
        <v>632</v>
      </c>
      <c r="B228" s="1">
        <v>46051.491909722223</v>
      </c>
      <c r="C228" t="s">
        <v>61</v>
      </c>
      <c r="D228" t="s">
        <v>9</v>
      </c>
      <c r="E228" t="s">
        <v>1</v>
      </c>
      <c r="F228" t="s">
        <v>26</v>
      </c>
      <c r="G228" t="s">
        <v>12</v>
      </c>
      <c r="H228" s="2" t="s">
        <v>633</v>
      </c>
      <c r="I228" t="s">
        <v>634</v>
      </c>
      <c r="J228" t="s">
        <v>75</v>
      </c>
      <c r="K228" t="s">
        <v>76</v>
      </c>
      <c r="L228" t="s">
        <v>634</v>
      </c>
      <c r="N228">
        <v>0</v>
      </c>
      <c r="O228" s="1">
        <v>46057.40587962963</v>
      </c>
      <c r="P228" t="s">
        <v>97</v>
      </c>
      <c r="Q228" t="s">
        <v>211</v>
      </c>
      <c r="R228" t="s">
        <v>118</v>
      </c>
    </row>
    <row r="229" spans="1:18" ht="15" customHeight="1">
      <c r="A229" t="s">
        <v>635</v>
      </c>
      <c r="B229" s="1">
        <v>46051.534444444442</v>
      </c>
      <c r="C229" t="s">
        <v>61</v>
      </c>
      <c r="D229" t="s">
        <v>9</v>
      </c>
      <c r="E229" t="s">
        <v>1</v>
      </c>
      <c r="F229" t="s">
        <v>28</v>
      </c>
      <c r="G229" t="s">
        <v>11</v>
      </c>
      <c r="H229" t="s">
        <v>636</v>
      </c>
      <c r="I229" t="s">
        <v>427</v>
      </c>
      <c r="J229" t="s">
        <v>75</v>
      </c>
      <c r="K229" t="s">
        <v>81</v>
      </c>
      <c r="L229" t="s">
        <v>427</v>
      </c>
      <c r="N229">
        <v>0</v>
      </c>
      <c r="O229" s="1">
        <v>46058.689479166664</v>
      </c>
      <c r="P229" t="s">
        <v>97</v>
      </c>
      <c r="Q229" t="s">
        <v>69</v>
      </c>
      <c r="R229" t="s">
        <v>83</v>
      </c>
    </row>
    <row r="230" spans="1:18" ht="15" customHeight="1">
      <c r="A230" t="s">
        <v>637</v>
      </c>
      <c r="B230" s="1">
        <v>46051.539027777777</v>
      </c>
      <c r="C230" t="s">
        <v>61</v>
      </c>
      <c r="D230" t="s">
        <v>9</v>
      </c>
      <c r="E230" t="s">
        <v>1</v>
      </c>
      <c r="F230" t="s">
        <v>28</v>
      </c>
      <c r="G230" t="s">
        <v>17</v>
      </c>
      <c r="H230" t="s">
        <v>638</v>
      </c>
      <c r="I230" t="s">
        <v>281</v>
      </c>
      <c r="J230" t="s">
        <v>75</v>
      </c>
      <c r="K230" t="s">
        <v>81</v>
      </c>
      <c r="L230" t="s">
        <v>281</v>
      </c>
      <c r="N230">
        <v>0</v>
      </c>
      <c r="O230" s="1">
        <v>46055.468645833331</v>
      </c>
      <c r="P230" t="s">
        <v>97</v>
      </c>
      <c r="Q230" t="s">
        <v>211</v>
      </c>
      <c r="R230" t="s">
        <v>83</v>
      </c>
    </row>
    <row r="231" spans="1:18" ht="15" customHeight="1">
      <c r="A231" t="s">
        <v>639</v>
      </c>
      <c r="B231" s="1">
        <v>46051.620706018519</v>
      </c>
      <c r="C231" t="s">
        <v>61</v>
      </c>
      <c r="D231" t="s">
        <v>9</v>
      </c>
      <c r="E231" t="s">
        <v>63</v>
      </c>
      <c r="H231" s="2" t="s">
        <v>640</v>
      </c>
      <c r="I231" t="s">
        <v>641</v>
      </c>
      <c r="J231" t="s">
        <v>75</v>
      </c>
      <c r="K231" t="s">
        <v>76</v>
      </c>
      <c r="L231" t="s">
        <v>641</v>
      </c>
      <c r="N231">
        <v>1</v>
      </c>
      <c r="O231" s="1">
        <v>46051.622488425928</v>
      </c>
      <c r="Q231" t="s">
        <v>147</v>
      </c>
      <c r="R231" t="s">
        <v>125</v>
      </c>
    </row>
    <row r="232" spans="1:18" ht="15" customHeight="1">
      <c r="A232" t="s">
        <v>642</v>
      </c>
      <c r="B232" s="1">
        <v>46051.616412037038</v>
      </c>
      <c r="C232" t="s">
        <v>61</v>
      </c>
      <c r="D232" t="s">
        <v>9</v>
      </c>
      <c r="E232" t="s">
        <v>1</v>
      </c>
      <c r="F232" t="s">
        <v>28</v>
      </c>
      <c r="G232" t="s">
        <v>11</v>
      </c>
      <c r="H232" s="2" t="s">
        <v>643</v>
      </c>
      <c r="I232" t="s">
        <v>427</v>
      </c>
      <c r="J232" t="s">
        <v>75</v>
      </c>
      <c r="K232" t="s">
        <v>81</v>
      </c>
      <c r="L232" t="s">
        <v>427</v>
      </c>
      <c r="N232">
        <v>0</v>
      </c>
      <c r="O232" s="1">
        <v>46052.48027777778</v>
      </c>
      <c r="P232" t="s">
        <v>82</v>
      </c>
      <c r="Q232" t="s">
        <v>69</v>
      </c>
      <c r="R232" t="s">
        <v>125</v>
      </c>
    </row>
    <row r="233" spans="1:18" ht="15" customHeight="1">
      <c r="A233" t="s">
        <v>644</v>
      </c>
      <c r="B233" s="1">
        <v>46051.632407407407</v>
      </c>
      <c r="C233" t="s">
        <v>61</v>
      </c>
      <c r="D233" t="s">
        <v>9</v>
      </c>
      <c r="E233" t="s">
        <v>1</v>
      </c>
      <c r="F233" t="s">
        <v>37</v>
      </c>
      <c r="G233" t="s">
        <v>11</v>
      </c>
      <c r="H233" s="2" t="s">
        <v>645</v>
      </c>
      <c r="I233" t="s">
        <v>101</v>
      </c>
      <c r="J233" t="s">
        <v>75</v>
      </c>
      <c r="K233" t="s">
        <v>81</v>
      </c>
      <c r="L233" t="s">
        <v>101</v>
      </c>
      <c r="N233">
        <v>0</v>
      </c>
      <c r="O233" s="1">
        <v>46052.610173611109</v>
      </c>
      <c r="P233" t="s">
        <v>82</v>
      </c>
      <c r="Q233" t="s">
        <v>117</v>
      </c>
      <c r="R233" t="s">
        <v>125</v>
      </c>
    </row>
    <row r="234" spans="1:18" ht="15" customHeight="1">
      <c r="A234" t="s">
        <v>646</v>
      </c>
      <c r="B234" s="1">
        <v>46051.635104166664</v>
      </c>
      <c r="C234" t="s">
        <v>61</v>
      </c>
      <c r="D234" t="s">
        <v>9</v>
      </c>
      <c r="E234" t="s">
        <v>1</v>
      </c>
      <c r="F234" t="s">
        <v>37</v>
      </c>
      <c r="G234" t="s">
        <v>11</v>
      </c>
      <c r="H234" s="2" t="s">
        <v>647</v>
      </c>
      <c r="I234" t="s">
        <v>101</v>
      </c>
      <c r="J234" t="s">
        <v>75</v>
      </c>
      <c r="K234" t="s">
        <v>81</v>
      </c>
      <c r="L234" t="s">
        <v>101</v>
      </c>
      <c r="N234">
        <v>0</v>
      </c>
      <c r="O234" s="1">
        <v>46056.39880787037</v>
      </c>
      <c r="P234" t="s">
        <v>82</v>
      </c>
      <c r="Q234" t="s">
        <v>211</v>
      </c>
      <c r="R234" t="s">
        <v>125</v>
      </c>
    </row>
    <row r="235" spans="1:18" ht="15" customHeight="1">
      <c r="A235" t="s">
        <v>648</v>
      </c>
      <c r="B235" s="1">
        <v>46051.670543981483</v>
      </c>
      <c r="C235" t="s">
        <v>61</v>
      </c>
      <c r="D235" t="s">
        <v>9</v>
      </c>
      <c r="E235" t="s">
        <v>1</v>
      </c>
      <c r="F235" t="s">
        <v>27</v>
      </c>
      <c r="G235" t="s">
        <v>14</v>
      </c>
      <c r="H235" s="2" t="s">
        <v>649</v>
      </c>
      <c r="I235" t="s">
        <v>172</v>
      </c>
      <c r="J235" t="s">
        <v>75</v>
      </c>
      <c r="K235" t="s">
        <v>81</v>
      </c>
      <c r="L235" t="s">
        <v>172</v>
      </c>
      <c r="N235">
        <v>0</v>
      </c>
      <c r="O235" s="1">
        <v>46057.404618055552</v>
      </c>
      <c r="P235" t="s">
        <v>97</v>
      </c>
      <c r="Q235" t="s">
        <v>69</v>
      </c>
      <c r="R235" t="s">
        <v>125</v>
      </c>
    </row>
    <row r="236" spans="1:18" ht="15" customHeight="1">
      <c r="A236" t="s">
        <v>650</v>
      </c>
      <c r="B236" s="1">
        <v>46051.776238425926</v>
      </c>
      <c r="C236" t="s">
        <v>61</v>
      </c>
      <c r="D236" t="s">
        <v>9</v>
      </c>
      <c r="E236" t="s">
        <v>1</v>
      </c>
      <c r="F236" t="s">
        <v>39</v>
      </c>
      <c r="G236" t="s">
        <v>11</v>
      </c>
      <c r="H236" t="s">
        <v>651</v>
      </c>
      <c r="I236" t="s">
        <v>567</v>
      </c>
      <c r="J236" t="s">
        <v>75</v>
      </c>
      <c r="K236" t="s">
        <v>81</v>
      </c>
      <c r="L236" t="s">
        <v>567</v>
      </c>
      <c r="N236">
        <v>0</v>
      </c>
      <c r="O236" s="1">
        <v>46073.31050925926</v>
      </c>
      <c r="P236" t="s">
        <v>97</v>
      </c>
      <c r="Q236" t="s">
        <v>69</v>
      </c>
      <c r="R236" t="s">
        <v>83</v>
      </c>
    </row>
    <row r="237" spans="1:18" ht="15" customHeight="1">
      <c r="A237" t="s">
        <v>652</v>
      </c>
      <c r="B237" s="1">
        <v>46052.304849537039</v>
      </c>
      <c r="C237" t="s">
        <v>61</v>
      </c>
      <c r="D237" t="s">
        <v>9</v>
      </c>
      <c r="E237" t="s">
        <v>1</v>
      </c>
      <c r="F237" t="s">
        <v>37</v>
      </c>
      <c r="G237" t="s">
        <v>17</v>
      </c>
      <c r="H237" s="2" t="s">
        <v>653</v>
      </c>
      <c r="I237" t="s">
        <v>118</v>
      </c>
      <c r="J237" t="s">
        <v>75</v>
      </c>
      <c r="K237" t="s">
        <v>76</v>
      </c>
      <c r="L237" t="s">
        <v>118</v>
      </c>
      <c r="N237">
        <v>0</v>
      </c>
      <c r="O237" s="1">
        <v>46071.318935185183</v>
      </c>
      <c r="P237" t="s">
        <v>97</v>
      </c>
      <c r="Q237" t="s">
        <v>69</v>
      </c>
      <c r="R237" t="s">
        <v>118</v>
      </c>
    </row>
    <row r="238" spans="1:18" ht="15" customHeight="1">
      <c r="A238" t="s">
        <v>654</v>
      </c>
      <c r="B238" s="1">
        <v>46052.344328703701</v>
      </c>
      <c r="C238" t="s">
        <v>61</v>
      </c>
      <c r="D238" t="s">
        <v>9</v>
      </c>
      <c r="E238" t="s">
        <v>63</v>
      </c>
      <c r="H238" t="s">
        <v>655</v>
      </c>
      <c r="I238" t="s">
        <v>656</v>
      </c>
      <c r="J238" t="s">
        <v>75</v>
      </c>
      <c r="K238" t="s">
        <v>76</v>
      </c>
      <c r="L238" t="s">
        <v>656</v>
      </c>
      <c r="N238">
        <v>1</v>
      </c>
      <c r="O238" s="1">
        <v>46052.350532407407</v>
      </c>
      <c r="Q238" t="s">
        <v>69</v>
      </c>
      <c r="R238" t="s">
        <v>83</v>
      </c>
    </row>
    <row r="239" spans="1:18" ht="15" customHeight="1">
      <c r="A239" t="s">
        <v>657</v>
      </c>
      <c r="B239" s="1">
        <v>46052.401909722219</v>
      </c>
      <c r="C239" t="s">
        <v>61</v>
      </c>
      <c r="D239" t="s">
        <v>9</v>
      </c>
      <c r="E239" t="s">
        <v>63</v>
      </c>
      <c r="H239" t="s">
        <v>171</v>
      </c>
      <c r="I239" t="s">
        <v>224</v>
      </c>
      <c r="J239" t="s">
        <v>75</v>
      </c>
      <c r="K239" t="s">
        <v>76</v>
      </c>
      <c r="L239" t="s">
        <v>224</v>
      </c>
      <c r="N239">
        <v>1</v>
      </c>
      <c r="O239" s="1">
        <v>46052.402800925927</v>
      </c>
      <c r="Q239" t="s">
        <v>69</v>
      </c>
      <c r="R239" t="s">
        <v>77</v>
      </c>
    </row>
    <row r="240" spans="1:18" ht="15" customHeight="1">
      <c r="A240" t="s">
        <v>658</v>
      </c>
      <c r="B240" s="1">
        <v>46052.43005787037</v>
      </c>
      <c r="C240" t="s">
        <v>184</v>
      </c>
      <c r="D240" t="s">
        <v>9</v>
      </c>
      <c r="E240" t="s">
        <v>1</v>
      </c>
      <c r="F240" t="s">
        <v>38</v>
      </c>
      <c r="G240" t="s">
        <v>14</v>
      </c>
      <c r="H240" s="2" t="s">
        <v>659</v>
      </c>
      <c r="I240" t="s">
        <v>292</v>
      </c>
      <c r="J240" t="s">
        <v>75</v>
      </c>
      <c r="K240" t="s">
        <v>76</v>
      </c>
      <c r="L240" t="s">
        <v>292</v>
      </c>
      <c r="N240">
        <v>0</v>
      </c>
      <c r="P240" t="s">
        <v>97</v>
      </c>
      <c r="R240" t="s">
        <v>118</v>
      </c>
    </row>
    <row r="241" spans="1:18" ht="15" customHeight="1">
      <c r="A241" t="s">
        <v>660</v>
      </c>
      <c r="B241" s="1">
        <v>46052.632974537039</v>
      </c>
      <c r="C241" t="s">
        <v>184</v>
      </c>
      <c r="D241" t="s">
        <v>9</v>
      </c>
      <c r="E241" t="s">
        <v>1</v>
      </c>
      <c r="F241" t="s">
        <v>37</v>
      </c>
      <c r="G241" t="s">
        <v>19</v>
      </c>
      <c r="H241" s="2" t="s">
        <v>661</v>
      </c>
      <c r="I241" t="s">
        <v>118</v>
      </c>
      <c r="J241" t="s">
        <v>75</v>
      </c>
      <c r="K241" t="s">
        <v>76</v>
      </c>
      <c r="L241" t="s">
        <v>118</v>
      </c>
      <c r="N241">
        <v>0</v>
      </c>
      <c r="P241" t="s">
        <v>97</v>
      </c>
      <c r="R241" t="s">
        <v>118</v>
      </c>
    </row>
    <row r="242" spans="1:18" ht="15" customHeight="1">
      <c r="A242" t="s">
        <v>662</v>
      </c>
      <c r="B242" s="1">
        <v>46052.635960648149</v>
      </c>
      <c r="C242" t="s">
        <v>165</v>
      </c>
      <c r="D242" t="s">
        <v>9</v>
      </c>
      <c r="E242" t="s">
        <v>1</v>
      </c>
      <c r="F242" t="s">
        <v>26</v>
      </c>
      <c r="G242" t="s">
        <v>14</v>
      </c>
      <c r="H242" s="2" t="s">
        <v>663</v>
      </c>
      <c r="I242" t="s">
        <v>214</v>
      </c>
      <c r="J242" t="s">
        <v>75</v>
      </c>
      <c r="K242" t="s">
        <v>81</v>
      </c>
      <c r="L242" t="s">
        <v>214</v>
      </c>
      <c r="N242">
        <v>0</v>
      </c>
      <c r="P242" t="s">
        <v>82</v>
      </c>
      <c r="R242" t="s">
        <v>87</v>
      </c>
    </row>
    <row r="243" spans="1:18" ht="15" customHeight="1">
      <c r="A243" t="s">
        <v>664</v>
      </c>
      <c r="B243" s="1">
        <v>46052.637407407405</v>
      </c>
      <c r="C243" t="s">
        <v>61</v>
      </c>
      <c r="D243" t="s">
        <v>9</v>
      </c>
      <c r="E243" t="s">
        <v>1</v>
      </c>
      <c r="F243" t="s">
        <v>28</v>
      </c>
      <c r="G243" t="s">
        <v>11</v>
      </c>
      <c r="H243" s="2" t="s">
        <v>665</v>
      </c>
      <c r="I243" t="s">
        <v>281</v>
      </c>
      <c r="J243" t="s">
        <v>75</v>
      </c>
      <c r="K243" t="s">
        <v>81</v>
      </c>
      <c r="L243" t="s">
        <v>281</v>
      </c>
      <c r="N243">
        <v>0</v>
      </c>
      <c r="O243" s="1">
        <v>46052.641180555554</v>
      </c>
      <c r="P243" t="s">
        <v>82</v>
      </c>
      <c r="Q243" t="s">
        <v>69</v>
      </c>
      <c r="R243" t="s">
        <v>77</v>
      </c>
    </row>
    <row r="244" spans="1:18" ht="15" customHeight="1">
      <c r="A244" t="s">
        <v>666</v>
      </c>
      <c r="B244" s="1">
        <v>46052.662141203706</v>
      </c>
      <c r="C244" t="s">
        <v>61</v>
      </c>
      <c r="D244" t="s">
        <v>9</v>
      </c>
      <c r="E244" t="s">
        <v>63</v>
      </c>
      <c r="H244" s="2" t="s">
        <v>667</v>
      </c>
      <c r="I244" t="s">
        <v>121</v>
      </c>
      <c r="J244" t="s">
        <v>75</v>
      </c>
      <c r="K244" t="s">
        <v>76</v>
      </c>
      <c r="L244" t="s">
        <v>121</v>
      </c>
      <c r="N244">
        <v>1</v>
      </c>
      <c r="O244" s="1">
        <v>46052.665219907409</v>
      </c>
      <c r="Q244" t="s">
        <v>69</v>
      </c>
      <c r="R244" t="s">
        <v>589</v>
      </c>
    </row>
    <row r="245" spans="1:18" ht="15" customHeight="1">
      <c r="A245" t="s">
        <v>668</v>
      </c>
      <c r="B245" s="1">
        <v>46052.700289351851</v>
      </c>
      <c r="C245" t="s">
        <v>61</v>
      </c>
      <c r="D245" t="s">
        <v>9</v>
      </c>
      <c r="E245" t="s">
        <v>1</v>
      </c>
      <c r="F245" t="s">
        <v>36</v>
      </c>
      <c r="G245" t="s">
        <v>21</v>
      </c>
      <c r="H245" s="2" t="s">
        <v>669</v>
      </c>
      <c r="I245" t="s">
        <v>128</v>
      </c>
      <c r="J245" t="s">
        <v>75</v>
      </c>
      <c r="K245" t="s">
        <v>81</v>
      </c>
      <c r="L245" t="s">
        <v>128</v>
      </c>
      <c r="N245">
        <v>0</v>
      </c>
      <c r="O245" s="1">
        <v>46059.671446759261</v>
      </c>
      <c r="P245" t="s">
        <v>82</v>
      </c>
      <c r="R245" t="s">
        <v>77</v>
      </c>
    </row>
    <row r="246" spans="1:18" ht="15" customHeight="1">
      <c r="A246" t="s">
        <v>670</v>
      </c>
      <c r="B246" s="1">
        <v>46055.438599537039</v>
      </c>
      <c r="C246" t="s">
        <v>184</v>
      </c>
      <c r="D246" t="s">
        <v>9</v>
      </c>
      <c r="E246" t="s">
        <v>1</v>
      </c>
      <c r="F246" t="s">
        <v>26</v>
      </c>
      <c r="G246" t="s">
        <v>19</v>
      </c>
      <c r="H246" t="s">
        <v>671</v>
      </c>
      <c r="I246" t="s">
        <v>214</v>
      </c>
      <c r="J246" t="s">
        <v>75</v>
      </c>
      <c r="K246" t="s">
        <v>81</v>
      </c>
      <c r="L246" t="s">
        <v>214</v>
      </c>
      <c r="N246">
        <v>0</v>
      </c>
      <c r="P246" t="s">
        <v>97</v>
      </c>
      <c r="R246" t="s">
        <v>87</v>
      </c>
    </row>
    <row r="247" spans="1:18" ht="15" customHeight="1">
      <c r="A247" t="s">
        <v>672</v>
      </c>
      <c r="B247" s="1">
        <v>46055.440289351849</v>
      </c>
      <c r="C247" t="s">
        <v>94</v>
      </c>
      <c r="D247" t="s">
        <v>9</v>
      </c>
      <c r="E247" t="s">
        <v>1</v>
      </c>
      <c r="F247" t="s">
        <v>32</v>
      </c>
      <c r="G247" t="s">
        <v>19</v>
      </c>
      <c r="H247" t="s">
        <v>673</v>
      </c>
      <c r="I247" t="s">
        <v>395</v>
      </c>
      <c r="J247" t="s">
        <v>75</v>
      </c>
      <c r="K247" t="s">
        <v>81</v>
      </c>
      <c r="L247" t="s">
        <v>395</v>
      </c>
      <c r="N247">
        <v>0</v>
      </c>
      <c r="P247" t="s">
        <v>97</v>
      </c>
      <c r="R247" t="s">
        <v>87</v>
      </c>
    </row>
    <row r="248" spans="1:18" ht="15" customHeight="1">
      <c r="A248" t="s">
        <v>674</v>
      </c>
      <c r="B248" s="1">
        <v>46055.447291666664</v>
      </c>
      <c r="C248" t="s">
        <v>61</v>
      </c>
      <c r="D248" t="s">
        <v>9</v>
      </c>
      <c r="E248" t="s">
        <v>63</v>
      </c>
      <c r="H248" t="s">
        <v>675</v>
      </c>
      <c r="I248" t="s">
        <v>676</v>
      </c>
      <c r="J248" t="s">
        <v>75</v>
      </c>
      <c r="K248" t="s">
        <v>76</v>
      </c>
      <c r="L248" t="s">
        <v>676</v>
      </c>
      <c r="N248">
        <v>1</v>
      </c>
      <c r="O248" s="1">
        <v>46055.45034722222</v>
      </c>
      <c r="Q248" t="s">
        <v>147</v>
      </c>
      <c r="R248" t="s">
        <v>125</v>
      </c>
    </row>
    <row r="249" spans="1:18" ht="15" customHeight="1">
      <c r="A249" t="s">
        <v>677</v>
      </c>
      <c r="B249" s="1">
        <v>46055.537349537037</v>
      </c>
      <c r="C249" t="s">
        <v>61</v>
      </c>
      <c r="D249" t="s">
        <v>9</v>
      </c>
      <c r="E249" t="s">
        <v>1</v>
      </c>
      <c r="F249" t="s">
        <v>28</v>
      </c>
      <c r="G249" t="s">
        <v>10</v>
      </c>
      <c r="H249" s="2" t="s">
        <v>678</v>
      </c>
      <c r="I249" t="s">
        <v>150</v>
      </c>
      <c r="J249" t="s">
        <v>75</v>
      </c>
      <c r="K249" t="s">
        <v>81</v>
      </c>
      <c r="L249" t="s">
        <v>150</v>
      </c>
      <c r="N249">
        <v>0</v>
      </c>
      <c r="O249" s="1">
        <v>46057.452662037038</v>
      </c>
      <c r="P249" t="s">
        <v>82</v>
      </c>
      <c r="Q249" t="s">
        <v>211</v>
      </c>
      <c r="R249" t="s">
        <v>125</v>
      </c>
    </row>
    <row r="250" spans="1:18" ht="15" customHeight="1">
      <c r="A250" t="s">
        <v>679</v>
      </c>
      <c r="B250" s="1">
        <v>46055.613055555557</v>
      </c>
      <c r="C250" t="s">
        <v>61</v>
      </c>
      <c r="D250" t="s">
        <v>9</v>
      </c>
      <c r="E250" t="s">
        <v>1</v>
      </c>
      <c r="F250" t="s">
        <v>28</v>
      </c>
      <c r="G250" t="s">
        <v>21</v>
      </c>
      <c r="H250" s="2" t="s">
        <v>680</v>
      </c>
      <c r="I250" t="s">
        <v>386</v>
      </c>
      <c r="J250" t="s">
        <v>75</v>
      </c>
      <c r="K250" t="s">
        <v>81</v>
      </c>
      <c r="L250" t="s">
        <v>386</v>
      </c>
      <c r="N250">
        <v>0</v>
      </c>
      <c r="O250" s="1">
        <v>46056.507835648146</v>
      </c>
      <c r="P250" t="s">
        <v>82</v>
      </c>
      <c r="Q250" t="s">
        <v>69</v>
      </c>
      <c r="R250" t="s">
        <v>155</v>
      </c>
    </row>
    <row r="251" spans="1:18" ht="15" customHeight="1">
      <c r="A251" t="s">
        <v>681</v>
      </c>
      <c r="B251" s="1">
        <v>46055.652002314811</v>
      </c>
      <c r="C251" t="s">
        <v>453</v>
      </c>
      <c r="D251" t="s">
        <v>9</v>
      </c>
      <c r="E251" t="s">
        <v>1</v>
      </c>
      <c r="F251" t="s">
        <v>37</v>
      </c>
      <c r="G251" t="s">
        <v>19</v>
      </c>
      <c r="H251" s="2" t="s">
        <v>682</v>
      </c>
      <c r="I251" t="s">
        <v>118</v>
      </c>
      <c r="J251" t="s">
        <v>75</v>
      </c>
      <c r="K251" t="s">
        <v>76</v>
      </c>
      <c r="L251" t="s">
        <v>118</v>
      </c>
      <c r="N251">
        <v>0</v>
      </c>
      <c r="P251" t="s">
        <v>97</v>
      </c>
      <c r="Q251" t="s">
        <v>98</v>
      </c>
      <c r="R251" t="s">
        <v>118</v>
      </c>
    </row>
    <row r="252" spans="1:18" ht="15" customHeight="1">
      <c r="A252" t="s">
        <v>683</v>
      </c>
      <c r="B252" s="1">
        <v>46055.660277777781</v>
      </c>
      <c r="C252" t="s">
        <v>61</v>
      </c>
      <c r="D252" t="s">
        <v>9</v>
      </c>
      <c r="E252" t="s">
        <v>1</v>
      </c>
      <c r="F252" t="s">
        <v>28</v>
      </c>
      <c r="G252" t="s">
        <v>17</v>
      </c>
      <c r="H252" t="s">
        <v>684</v>
      </c>
      <c r="I252" t="s">
        <v>80</v>
      </c>
      <c r="J252" t="s">
        <v>96</v>
      </c>
      <c r="K252" t="s">
        <v>81</v>
      </c>
      <c r="L252" t="s">
        <v>80</v>
      </c>
      <c r="N252">
        <v>0</v>
      </c>
      <c r="O252" s="1">
        <v>46064.447615740741</v>
      </c>
      <c r="P252" t="s">
        <v>97</v>
      </c>
      <c r="Q252" t="s">
        <v>211</v>
      </c>
      <c r="R252" t="s">
        <v>92</v>
      </c>
    </row>
    <row r="253" spans="1:18" ht="15" customHeight="1">
      <c r="A253" t="s">
        <v>685</v>
      </c>
      <c r="B253" s="1">
        <v>46055.683472222219</v>
      </c>
      <c r="C253" t="s">
        <v>61</v>
      </c>
      <c r="D253" t="s">
        <v>9</v>
      </c>
      <c r="E253" t="s">
        <v>63</v>
      </c>
      <c r="H253" t="s">
        <v>171</v>
      </c>
      <c r="I253" t="s">
        <v>686</v>
      </c>
      <c r="J253" t="s">
        <v>75</v>
      </c>
      <c r="K253" t="s">
        <v>76</v>
      </c>
      <c r="L253" t="s">
        <v>686</v>
      </c>
      <c r="N253">
        <v>1</v>
      </c>
      <c r="O253" s="1">
        <v>46055.684421296297</v>
      </c>
      <c r="Q253" t="s">
        <v>69</v>
      </c>
      <c r="R253" t="s">
        <v>77</v>
      </c>
    </row>
    <row r="254" spans="1:18" ht="15" customHeight="1">
      <c r="A254" t="s">
        <v>687</v>
      </c>
      <c r="B254" s="1">
        <v>46055.714432870373</v>
      </c>
      <c r="C254" t="s">
        <v>61</v>
      </c>
      <c r="D254" t="s">
        <v>9</v>
      </c>
      <c r="E254" t="s">
        <v>63</v>
      </c>
      <c r="H254" t="s">
        <v>688</v>
      </c>
      <c r="I254" t="s">
        <v>121</v>
      </c>
      <c r="J254" t="s">
        <v>75</v>
      </c>
      <c r="K254" t="s">
        <v>76</v>
      </c>
      <c r="L254" t="s">
        <v>121</v>
      </c>
      <c r="N254">
        <v>1</v>
      </c>
      <c r="O254" s="1">
        <v>46055.717731481483</v>
      </c>
      <c r="Q254" t="s">
        <v>69</v>
      </c>
      <c r="R254" t="s">
        <v>354</v>
      </c>
    </row>
    <row r="255" spans="1:18" ht="15" customHeight="1">
      <c r="A255" t="s">
        <v>689</v>
      </c>
      <c r="B255" s="1">
        <v>46056.275868055556</v>
      </c>
      <c r="C255" t="s">
        <v>61</v>
      </c>
      <c r="D255" t="s">
        <v>327</v>
      </c>
      <c r="E255" t="s">
        <v>63</v>
      </c>
      <c r="H255" t="s">
        <v>690</v>
      </c>
      <c r="I255" t="s">
        <v>691</v>
      </c>
      <c r="J255" t="s">
        <v>66</v>
      </c>
      <c r="K255" t="s">
        <v>67</v>
      </c>
      <c r="L255" t="s">
        <v>691</v>
      </c>
      <c r="N255">
        <v>0</v>
      </c>
      <c r="O255" s="1">
        <v>46056.6327662037</v>
      </c>
      <c r="P255" t="s">
        <v>330</v>
      </c>
      <c r="Q255" t="s">
        <v>331</v>
      </c>
      <c r="R255" t="s">
        <v>691</v>
      </c>
    </row>
    <row r="256" spans="1:18" ht="15" customHeight="1">
      <c r="A256" t="s">
        <v>692</v>
      </c>
      <c r="B256" s="1">
        <v>46056.421203703707</v>
      </c>
      <c r="C256" t="s">
        <v>165</v>
      </c>
      <c r="D256" t="s">
        <v>9</v>
      </c>
      <c r="E256" t="s">
        <v>1</v>
      </c>
      <c r="F256" t="s">
        <v>27</v>
      </c>
      <c r="G256" t="s">
        <v>11</v>
      </c>
      <c r="H256" s="2" t="s">
        <v>693</v>
      </c>
      <c r="I256" t="s">
        <v>86</v>
      </c>
      <c r="J256" t="s">
        <v>75</v>
      </c>
      <c r="K256" t="s">
        <v>81</v>
      </c>
      <c r="L256" t="s">
        <v>86</v>
      </c>
      <c r="N256">
        <v>0</v>
      </c>
      <c r="P256" t="s">
        <v>82</v>
      </c>
      <c r="R256" t="s">
        <v>87</v>
      </c>
    </row>
    <row r="257" spans="1:18" ht="15" customHeight="1">
      <c r="A257" t="s">
        <v>694</v>
      </c>
      <c r="B257" s="1">
        <v>46056.428935185184</v>
      </c>
      <c r="C257" t="s">
        <v>61</v>
      </c>
      <c r="D257" t="s">
        <v>9</v>
      </c>
      <c r="E257" t="s">
        <v>63</v>
      </c>
      <c r="H257" t="s">
        <v>695</v>
      </c>
      <c r="I257" t="s">
        <v>696</v>
      </c>
      <c r="J257" t="s">
        <v>75</v>
      </c>
      <c r="K257" t="s">
        <v>81</v>
      </c>
      <c r="L257" t="s">
        <v>696</v>
      </c>
      <c r="N257">
        <v>1</v>
      </c>
      <c r="O257" s="1">
        <v>46056.431064814817</v>
      </c>
      <c r="Q257" t="s">
        <v>141</v>
      </c>
      <c r="R257" t="s">
        <v>87</v>
      </c>
    </row>
    <row r="258" spans="1:18" ht="15" customHeight="1">
      <c r="A258" t="s">
        <v>697</v>
      </c>
      <c r="B258" s="1">
        <v>46056.514745370368</v>
      </c>
      <c r="C258" t="s">
        <v>61</v>
      </c>
      <c r="D258" t="s">
        <v>9</v>
      </c>
      <c r="E258" t="s">
        <v>63</v>
      </c>
      <c r="H258" t="s">
        <v>171</v>
      </c>
      <c r="I258" t="s">
        <v>121</v>
      </c>
      <c r="J258" t="s">
        <v>75</v>
      </c>
      <c r="K258" t="s">
        <v>76</v>
      </c>
      <c r="L258" t="s">
        <v>121</v>
      </c>
      <c r="N258">
        <v>1</v>
      </c>
      <c r="O258" s="1">
        <v>46056.518217592595</v>
      </c>
      <c r="Q258" t="s">
        <v>69</v>
      </c>
      <c r="R258" t="s">
        <v>92</v>
      </c>
    </row>
    <row r="259" spans="1:18" ht="15" customHeight="1">
      <c r="A259" t="s">
        <v>698</v>
      </c>
      <c r="B259" s="1">
        <v>46056.672199074077</v>
      </c>
      <c r="C259" t="s">
        <v>61</v>
      </c>
      <c r="D259" t="s">
        <v>9</v>
      </c>
      <c r="E259" t="s">
        <v>63</v>
      </c>
      <c r="H259" t="s">
        <v>171</v>
      </c>
      <c r="I259" t="s">
        <v>121</v>
      </c>
      <c r="J259" t="s">
        <v>75</v>
      </c>
      <c r="K259" t="s">
        <v>76</v>
      </c>
      <c r="L259" t="s">
        <v>121</v>
      </c>
      <c r="N259">
        <v>1</v>
      </c>
      <c r="O259" s="1">
        <v>46056.673206018517</v>
      </c>
      <c r="Q259" t="s">
        <v>69</v>
      </c>
      <c r="R259" t="s">
        <v>77</v>
      </c>
    </row>
    <row r="260" spans="1:18" ht="15" customHeight="1">
      <c r="A260" t="s">
        <v>699</v>
      </c>
      <c r="B260" s="1">
        <v>46056.737581018519</v>
      </c>
      <c r="C260" t="s">
        <v>61</v>
      </c>
      <c r="D260" t="s">
        <v>9</v>
      </c>
      <c r="E260" t="s">
        <v>1</v>
      </c>
      <c r="F260" t="s">
        <v>35</v>
      </c>
      <c r="G260" t="s">
        <v>11</v>
      </c>
      <c r="H260" t="s">
        <v>700</v>
      </c>
      <c r="I260" t="s">
        <v>232</v>
      </c>
      <c r="J260" t="s">
        <v>75</v>
      </c>
      <c r="K260" t="s">
        <v>81</v>
      </c>
      <c r="L260" t="s">
        <v>232</v>
      </c>
      <c r="N260">
        <v>0</v>
      </c>
      <c r="O260" s="1">
        <v>46057.364282407405</v>
      </c>
      <c r="P260" t="s">
        <v>82</v>
      </c>
      <c r="Q260" t="s">
        <v>69</v>
      </c>
      <c r="R260" t="s">
        <v>92</v>
      </c>
    </row>
    <row r="261" spans="1:18" ht="15" customHeight="1">
      <c r="A261" t="s">
        <v>701</v>
      </c>
      <c r="B261" s="1">
        <v>46056.802777777775</v>
      </c>
      <c r="C261" t="s">
        <v>61</v>
      </c>
      <c r="D261" t="s">
        <v>9</v>
      </c>
      <c r="E261" t="s">
        <v>1</v>
      </c>
      <c r="F261" t="s">
        <v>37</v>
      </c>
      <c r="G261" t="s">
        <v>11</v>
      </c>
      <c r="H261" t="s">
        <v>702</v>
      </c>
      <c r="I261" t="s">
        <v>703</v>
      </c>
      <c r="J261" t="s">
        <v>75</v>
      </c>
      <c r="K261" t="s">
        <v>81</v>
      </c>
      <c r="L261" t="s">
        <v>703</v>
      </c>
      <c r="N261">
        <v>0</v>
      </c>
      <c r="O261" s="1">
        <v>46057.711840277778</v>
      </c>
      <c r="P261" t="s">
        <v>82</v>
      </c>
      <c r="Q261" t="s">
        <v>69</v>
      </c>
      <c r="R261" t="s">
        <v>92</v>
      </c>
    </row>
    <row r="262" spans="1:18" ht="15" customHeight="1">
      <c r="A262" t="s">
        <v>704</v>
      </c>
      <c r="B262" s="1">
        <v>46057.267476851855</v>
      </c>
      <c r="C262" t="s">
        <v>61</v>
      </c>
      <c r="D262" t="s">
        <v>327</v>
      </c>
      <c r="E262" t="s">
        <v>63</v>
      </c>
      <c r="H262" t="s">
        <v>705</v>
      </c>
      <c r="I262" t="s">
        <v>403</v>
      </c>
      <c r="J262" t="s">
        <v>66</v>
      </c>
      <c r="K262" t="s">
        <v>67</v>
      </c>
      <c r="L262" t="s">
        <v>403</v>
      </c>
      <c r="N262">
        <v>0</v>
      </c>
      <c r="O262" s="1">
        <v>46057.461006944446</v>
      </c>
      <c r="P262" t="s">
        <v>330</v>
      </c>
      <c r="Q262" t="s">
        <v>331</v>
      </c>
      <c r="R262" t="s">
        <v>403</v>
      </c>
    </row>
    <row r="263" spans="1:18" ht="15" customHeight="1">
      <c r="A263" t="s">
        <v>706</v>
      </c>
      <c r="B263" s="1">
        <v>46057.362870370373</v>
      </c>
      <c r="C263" t="s">
        <v>61</v>
      </c>
      <c r="D263" t="s">
        <v>9</v>
      </c>
      <c r="E263" t="s">
        <v>1</v>
      </c>
      <c r="F263" t="s">
        <v>37</v>
      </c>
      <c r="G263" t="s">
        <v>17</v>
      </c>
      <c r="H263" s="2" t="s">
        <v>707</v>
      </c>
      <c r="I263" t="s">
        <v>708</v>
      </c>
      <c r="J263" t="s">
        <v>75</v>
      </c>
      <c r="K263" t="s">
        <v>81</v>
      </c>
      <c r="L263" t="s">
        <v>708</v>
      </c>
      <c r="N263">
        <v>0</v>
      </c>
      <c r="O263" s="1">
        <v>46071.319780092592</v>
      </c>
      <c r="P263" t="s">
        <v>97</v>
      </c>
      <c r="Q263" t="s">
        <v>211</v>
      </c>
      <c r="R263" t="s">
        <v>155</v>
      </c>
    </row>
    <row r="264" spans="1:18" ht="15" customHeight="1">
      <c r="A264" t="s">
        <v>709</v>
      </c>
      <c r="B264" s="1">
        <v>46057.398761574077</v>
      </c>
      <c r="C264" t="s">
        <v>61</v>
      </c>
      <c r="D264" t="s">
        <v>9</v>
      </c>
      <c r="E264" t="s">
        <v>1</v>
      </c>
      <c r="F264" t="s">
        <v>32</v>
      </c>
      <c r="G264" t="s">
        <v>11</v>
      </c>
      <c r="H264" t="s">
        <v>710</v>
      </c>
      <c r="I264" t="s">
        <v>395</v>
      </c>
      <c r="J264" t="s">
        <v>75</v>
      </c>
      <c r="K264" t="s">
        <v>81</v>
      </c>
      <c r="L264" t="s">
        <v>395</v>
      </c>
      <c r="N264">
        <v>0</v>
      </c>
      <c r="O264" s="1">
        <v>46057.488067129627</v>
      </c>
      <c r="P264" t="s">
        <v>82</v>
      </c>
      <c r="Q264" t="s">
        <v>69</v>
      </c>
      <c r="R264" t="s">
        <v>87</v>
      </c>
    </row>
    <row r="265" spans="1:18" ht="15" customHeight="1">
      <c r="A265" t="s">
        <v>711</v>
      </c>
      <c r="B265" s="1">
        <v>46057.440983796296</v>
      </c>
      <c r="C265" t="s">
        <v>184</v>
      </c>
      <c r="D265" t="s">
        <v>9</v>
      </c>
      <c r="E265" t="s">
        <v>1</v>
      </c>
      <c r="F265" t="s">
        <v>15</v>
      </c>
      <c r="G265" t="s">
        <v>15</v>
      </c>
      <c r="H265" t="s">
        <v>712</v>
      </c>
      <c r="I265" t="s">
        <v>179</v>
      </c>
      <c r="J265" t="s">
        <v>75</v>
      </c>
      <c r="K265" t="s">
        <v>81</v>
      </c>
      <c r="L265" t="s">
        <v>179</v>
      </c>
      <c r="N265">
        <v>0</v>
      </c>
      <c r="P265" t="s">
        <v>97</v>
      </c>
      <c r="R265" t="s">
        <v>87</v>
      </c>
    </row>
    <row r="266" spans="1:18" ht="15" customHeight="1">
      <c r="A266" t="s">
        <v>713</v>
      </c>
      <c r="B266" s="1">
        <v>46057.443124999998</v>
      </c>
      <c r="C266" t="s">
        <v>61</v>
      </c>
      <c r="D266" t="s">
        <v>9</v>
      </c>
      <c r="E266" t="s">
        <v>1</v>
      </c>
      <c r="F266" t="s">
        <v>15</v>
      </c>
      <c r="G266" t="s">
        <v>15</v>
      </c>
      <c r="H266" t="s">
        <v>714</v>
      </c>
      <c r="I266" t="s">
        <v>179</v>
      </c>
      <c r="J266" t="s">
        <v>75</v>
      </c>
      <c r="K266" t="s">
        <v>81</v>
      </c>
      <c r="L266" t="s">
        <v>179</v>
      </c>
      <c r="N266">
        <v>0</v>
      </c>
      <c r="O266" s="1">
        <v>46057.48165509259</v>
      </c>
      <c r="P266" t="s">
        <v>82</v>
      </c>
      <c r="Q266" t="s">
        <v>69</v>
      </c>
      <c r="R266" t="s">
        <v>87</v>
      </c>
    </row>
    <row r="267" spans="1:18" ht="15" customHeight="1">
      <c r="A267" t="s">
        <v>715</v>
      </c>
      <c r="B267" s="1">
        <v>46057.530451388891</v>
      </c>
      <c r="C267" t="s">
        <v>61</v>
      </c>
      <c r="D267" t="s">
        <v>9</v>
      </c>
      <c r="E267" t="s">
        <v>1</v>
      </c>
      <c r="F267" t="s">
        <v>37</v>
      </c>
      <c r="G267" t="s">
        <v>20</v>
      </c>
      <c r="H267" t="s">
        <v>716</v>
      </c>
      <c r="I267" t="s">
        <v>432</v>
      </c>
      <c r="J267" t="s">
        <v>96</v>
      </c>
      <c r="K267" t="s">
        <v>81</v>
      </c>
      <c r="L267" t="s">
        <v>432</v>
      </c>
      <c r="N267">
        <v>0</v>
      </c>
      <c r="O267" s="1">
        <v>46064.321493055555</v>
      </c>
      <c r="P267" t="s">
        <v>97</v>
      </c>
      <c r="Q267" t="s">
        <v>98</v>
      </c>
      <c r="R267" t="s">
        <v>87</v>
      </c>
    </row>
    <row r="268" spans="1:18" ht="15" customHeight="1">
      <c r="A268" t="s">
        <v>717</v>
      </c>
      <c r="B268" s="1">
        <v>46057.583622685182</v>
      </c>
      <c r="C268" t="s">
        <v>61</v>
      </c>
      <c r="D268" t="s">
        <v>9</v>
      </c>
      <c r="E268" t="s">
        <v>63</v>
      </c>
      <c r="H268" t="s">
        <v>718</v>
      </c>
      <c r="I268" t="s">
        <v>719</v>
      </c>
      <c r="J268" t="s">
        <v>75</v>
      </c>
      <c r="K268" t="s">
        <v>76</v>
      </c>
      <c r="L268" t="s">
        <v>719</v>
      </c>
      <c r="N268">
        <v>1</v>
      </c>
      <c r="O268" s="1">
        <v>46057.5859837963</v>
      </c>
      <c r="Q268" t="s">
        <v>69</v>
      </c>
      <c r="R268" t="s">
        <v>354</v>
      </c>
    </row>
    <row r="269" spans="1:18" ht="15" customHeight="1">
      <c r="A269" t="s">
        <v>720</v>
      </c>
      <c r="B269" s="1">
        <v>46057.592673611114</v>
      </c>
      <c r="C269" t="s">
        <v>61</v>
      </c>
      <c r="D269" t="s">
        <v>9</v>
      </c>
      <c r="E269" t="s">
        <v>1</v>
      </c>
      <c r="F269" t="s">
        <v>15</v>
      </c>
      <c r="G269" t="s">
        <v>15</v>
      </c>
      <c r="H269" t="s">
        <v>721</v>
      </c>
      <c r="I269" t="s">
        <v>179</v>
      </c>
      <c r="J269" t="s">
        <v>75</v>
      </c>
      <c r="K269" t="s">
        <v>81</v>
      </c>
      <c r="L269" t="s">
        <v>179</v>
      </c>
      <c r="N269">
        <v>0</v>
      </c>
      <c r="O269" s="1">
        <v>46059.675358796296</v>
      </c>
      <c r="P269" t="s">
        <v>82</v>
      </c>
      <c r="Q269" t="s">
        <v>69</v>
      </c>
      <c r="R269" t="s">
        <v>92</v>
      </c>
    </row>
    <row r="270" spans="1:18" ht="15" customHeight="1">
      <c r="A270" t="s">
        <v>722</v>
      </c>
      <c r="B270" s="1">
        <v>46057.601759259262</v>
      </c>
      <c r="C270" t="s">
        <v>165</v>
      </c>
      <c r="D270" t="s">
        <v>9</v>
      </c>
      <c r="E270" t="s">
        <v>1</v>
      </c>
      <c r="F270" t="s">
        <v>15</v>
      </c>
      <c r="G270" t="s">
        <v>15</v>
      </c>
      <c r="H270" t="s">
        <v>723</v>
      </c>
      <c r="I270" t="s">
        <v>179</v>
      </c>
      <c r="J270" t="s">
        <v>75</v>
      </c>
      <c r="K270" t="s">
        <v>81</v>
      </c>
      <c r="L270" t="s">
        <v>179</v>
      </c>
      <c r="N270">
        <v>0</v>
      </c>
      <c r="P270" t="s">
        <v>82</v>
      </c>
      <c r="R270" t="s">
        <v>92</v>
      </c>
    </row>
    <row r="271" spans="1:18" ht="15" customHeight="1">
      <c r="A271" t="s">
        <v>724</v>
      </c>
      <c r="B271" s="1">
        <v>46057.603460648148</v>
      </c>
      <c r="C271" t="s">
        <v>61</v>
      </c>
      <c r="D271" t="s">
        <v>9</v>
      </c>
      <c r="E271" t="s">
        <v>1</v>
      </c>
      <c r="F271" t="s">
        <v>15</v>
      </c>
      <c r="G271" t="s">
        <v>15</v>
      </c>
      <c r="H271" t="s">
        <v>725</v>
      </c>
      <c r="I271" t="s">
        <v>179</v>
      </c>
      <c r="J271" t="s">
        <v>75</v>
      </c>
      <c r="K271" t="s">
        <v>81</v>
      </c>
      <c r="L271" t="s">
        <v>179</v>
      </c>
      <c r="N271">
        <v>0</v>
      </c>
      <c r="O271" s="1">
        <v>46058.450520833336</v>
      </c>
      <c r="P271" t="s">
        <v>82</v>
      </c>
      <c r="Q271" t="s">
        <v>69</v>
      </c>
      <c r="R271" t="s">
        <v>92</v>
      </c>
    </row>
    <row r="272" spans="1:18" ht="15" customHeight="1">
      <c r="A272" t="s">
        <v>726</v>
      </c>
      <c r="B272" s="1">
        <v>46057.604560185187</v>
      </c>
      <c r="C272" t="s">
        <v>184</v>
      </c>
      <c r="D272" t="s">
        <v>9</v>
      </c>
      <c r="E272" t="s">
        <v>1</v>
      </c>
      <c r="F272" t="s">
        <v>41</v>
      </c>
      <c r="G272" t="s">
        <v>16</v>
      </c>
      <c r="H272" s="2" t="s">
        <v>727</v>
      </c>
      <c r="I272" t="s">
        <v>167</v>
      </c>
      <c r="J272" t="s">
        <v>75</v>
      </c>
      <c r="K272" t="s">
        <v>76</v>
      </c>
      <c r="L272" t="s">
        <v>167</v>
      </c>
      <c r="N272">
        <v>0</v>
      </c>
      <c r="P272" t="s">
        <v>97</v>
      </c>
      <c r="R272" t="s">
        <v>167</v>
      </c>
    </row>
    <row r="273" spans="1:18" ht="15" customHeight="1">
      <c r="A273" t="s">
        <v>728</v>
      </c>
      <c r="B273" s="1">
        <v>46057.627847222226</v>
      </c>
      <c r="C273" t="s">
        <v>61</v>
      </c>
      <c r="D273" t="s">
        <v>9</v>
      </c>
      <c r="E273" t="s">
        <v>1</v>
      </c>
      <c r="F273" t="s">
        <v>38</v>
      </c>
      <c r="G273" t="s">
        <v>11</v>
      </c>
      <c r="H273" t="s">
        <v>729</v>
      </c>
      <c r="I273" t="s">
        <v>292</v>
      </c>
      <c r="J273" t="s">
        <v>75</v>
      </c>
      <c r="K273" t="s">
        <v>81</v>
      </c>
      <c r="L273" t="s">
        <v>292</v>
      </c>
      <c r="N273">
        <v>0</v>
      </c>
      <c r="O273" s="1">
        <v>46064.320277777777</v>
      </c>
      <c r="P273" t="s">
        <v>97</v>
      </c>
      <c r="Q273" t="s">
        <v>117</v>
      </c>
      <c r="R273" t="s">
        <v>87</v>
      </c>
    </row>
    <row r="274" spans="1:18" ht="15" customHeight="1">
      <c r="A274" t="s">
        <v>730</v>
      </c>
      <c r="B274" s="1">
        <v>46057.632835648146</v>
      </c>
      <c r="C274" t="s">
        <v>61</v>
      </c>
      <c r="D274" t="s">
        <v>9</v>
      </c>
      <c r="E274" t="s">
        <v>1</v>
      </c>
      <c r="F274" t="s">
        <v>37</v>
      </c>
      <c r="G274" t="s">
        <v>17</v>
      </c>
      <c r="H274" s="2" t="s">
        <v>731</v>
      </c>
      <c r="I274" t="s">
        <v>202</v>
      </c>
      <c r="J274" t="s">
        <v>75</v>
      </c>
      <c r="K274" t="s">
        <v>81</v>
      </c>
      <c r="L274" t="s">
        <v>202</v>
      </c>
      <c r="N274">
        <v>0</v>
      </c>
      <c r="O274" s="1">
        <v>46059.674097222225</v>
      </c>
      <c r="P274" t="s">
        <v>97</v>
      </c>
      <c r="Q274" t="s">
        <v>98</v>
      </c>
      <c r="R274" t="s">
        <v>87</v>
      </c>
    </row>
    <row r="275" spans="1:18" ht="15" customHeight="1">
      <c r="A275" t="s">
        <v>732</v>
      </c>
      <c r="B275" s="1">
        <v>46057.760451388887</v>
      </c>
      <c r="C275" t="s">
        <v>61</v>
      </c>
      <c r="D275" t="s">
        <v>9</v>
      </c>
      <c r="E275" t="s">
        <v>1</v>
      </c>
      <c r="F275" t="s">
        <v>28</v>
      </c>
      <c r="G275" t="s">
        <v>21</v>
      </c>
      <c r="H275" t="s">
        <v>733</v>
      </c>
      <c r="I275" t="s">
        <v>150</v>
      </c>
      <c r="J275" t="s">
        <v>75</v>
      </c>
      <c r="K275" t="s">
        <v>81</v>
      </c>
      <c r="L275" t="s">
        <v>150</v>
      </c>
      <c r="N275">
        <v>0</v>
      </c>
      <c r="O275" s="1">
        <v>46065.473587962966</v>
      </c>
      <c r="P275" t="s">
        <v>82</v>
      </c>
      <c r="Q275" t="s">
        <v>211</v>
      </c>
      <c r="R275" t="s">
        <v>87</v>
      </c>
    </row>
    <row r="276" spans="1:18" ht="15" customHeight="1">
      <c r="A276" t="s">
        <v>734</v>
      </c>
      <c r="B276" s="1">
        <v>46057.761828703704</v>
      </c>
      <c r="C276" t="s">
        <v>61</v>
      </c>
      <c r="D276" t="s">
        <v>9</v>
      </c>
      <c r="E276" t="s">
        <v>63</v>
      </c>
      <c r="H276" t="s">
        <v>735</v>
      </c>
      <c r="I276" t="s">
        <v>292</v>
      </c>
      <c r="J276" t="s">
        <v>75</v>
      </c>
      <c r="K276" t="s">
        <v>81</v>
      </c>
      <c r="L276" t="s">
        <v>292</v>
      </c>
      <c r="N276">
        <v>1</v>
      </c>
      <c r="O276" s="1">
        <v>46057.765567129631</v>
      </c>
      <c r="Q276" t="s">
        <v>69</v>
      </c>
      <c r="R276" t="s">
        <v>87</v>
      </c>
    </row>
    <row r="277" spans="1:18" ht="15" customHeight="1">
      <c r="A277" t="s">
        <v>736</v>
      </c>
      <c r="B277" s="1">
        <v>46057.776898148149</v>
      </c>
      <c r="C277" t="s">
        <v>61</v>
      </c>
      <c r="D277" t="s">
        <v>9</v>
      </c>
      <c r="E277" t="s">
        <v>1</v>
      </c>
      <c r="F277" t="s">
        <v>36</v>
      </c>
      <c r="G277" t="s">
        <v>11</v>
      </c>
      <c r="H277" t="s">
        <v>737</v>
      </c>
      <c r="I277" t="s">
        <v>128</v>
      </c>
      <c r="J277" t="s">
        <v>75</v>
      </c>
      <c r="K277" t="s">
        <v>81</v>
      </c>
      <c r="L277" t="s">
        <v>128</v>
      </c>
      <c r="N277">
        <v>0</v>
      </c>
      <c r="O277" s="1">
        <v>46058.676192129627</v>
      </c>
      <c r="P277" t="s">
        <v>82</v>
      </c>
      <c r="Q277" t="s">
        <v>117</v>
      </c>
      <c r="R277" t="s">
        <v>87</v>
      </c>
    </row>
    <row r="278" spans="1:18" ht="15" customHeight="1">
      <c r="A278" t="s">
        <v>738</v>
      </c>
      <c r="B278" s="1">
        <v>46057.807812500003</v>
      </c>
      <c r="C278" t="s">
        <v>61</v>
      </c>
      <c r="D278" t="s">
        <v>9</v>
      </c>
      <c r="E278" t="s">
        <v>1</v>
      </c>
      <c r="F278" t="s">
        <v>27</v>
      </c>
      <c r="G278" t="s">
        <v>11</v>
      </c>
      <c r="H278" s="2" t="s">
        <v>739</v>
      </c>
      <c r="I278" t="s">
        <v>90</v>
      </c>
      <c r="J278" t="s">
        <v>75</v>
      </c>
      <c r="K278" t="s">
        <v>81</v>
      </c>
      <c r="L278" t="s">
        <v>90</v>
      </c>
      <c r="N278">
        <v>0</v>
      </c>
      <c r="O278" s="1">
        <v>46071.314953703702</v>
      </c>
      <c r="P278" t="s">
        <v>97</v>
      </c>
      <c r="Q278" t="s">
        <v>69</v>
      </c>
      <c r="R278" t="s">
        <v>87</v>
      </c>
    </row>
    <row r="279" spans="1:18" ht="15" customHeight="1">
      <c r="A279" t="s">
        <v>740</v>
      </c>
      <c r="B279" s="1">
        <v>46058.273599537039</v>
      </c>
      <c r="C279" t="s">
        <v>61</v>
      </c>
      <c r="D279" t="s">
        <v>327</v>
      </c>
      <c r="E279" t="s">
        <v>63</v>
      </c>
      <c r="H279" t="s">
        <v>741</v>
      </c>
      <c r="I279" t="s">
        <v>403</v>
      </c>
      <c r="J279" t="s">
        <v>66</v>
      </c>
      <c r="K279" t="s">
        <v>67</v>
      </c>
      <c r="L279" t="s">
        <v>403</v>
      </c>
      <c r="N279">
        <v>0</v>
      </c>
      <c r="O279" s="1">
        <v>46059.582326388889</v>
      </c>
      <c r="P279" t="s">
        <v>330</v>
      </c>
      <c r="Q279" t="s">
        <v>331</v>
      </c>
      <c r="R279" t="s">
        <v>403</v>
      </c>
    </row>
    <row r="280" spans="1:18" ht="15" customHeight="1">
      <c r="A280" t="s">
        <v>742</v>
      </c>
      <c r="B280" s="1">
        <v>46058.373020833336</v>
      </c>
      <c r="C280" t="s">
        <v>61</v>
      </c>
      <c r="D280" t="s">
        <v>9</v>
      </c>
      <c r="E280" t="s">
        <v>63</v>
      </c>
      <c r="H280" t="s">
        <v>171</v>
      </c>
      <c r="I280" t="s">
        <v>269</v>
      </c>
      <c r="J280" t="s">
        <v>75</v>
      </c>
      <c r="K280" t="s">
        <v>76</v>
      </c>
      <c r="L280" t="s">
        <v>269</v>
      </c>
      <c r="N280">
        <v>1</v>
      </c>
      <c r="O280" s="1">
        <v>46058.375451388885</v>
      </c>
      <c r="Q280" t="s">
        <v>69</v>
      </c>
      <c r="R280" t="s">
        <v>92</v>
      </c>
    </row>
    <row r="281" spans="1:18" ht="15" customHeight="1">
      <c r="A281" t="s">
        <v>743</v>
      </c>
      <c r="B281" s="1">
        <v>46058.410046296296</v>
      </c>
      <c r="C281" t="s">
        <v>61</v>
      </c>
      <c r="D281" t="s">
        <v>9</v>
      </c>
      <c r="E281" t="s">
        <v>63</v>
      </c>
      <c r="H281" t="s">
        <v>171</v>
      </c>
      <c r="I281" t="s">
        <v>269</v>
      </c>
      <c r="J281" t="s">
        <v>75</v>
      </c>
      <c r="K281" t="s">
        <v>76</v>
      </c>
      <c r="L281" t="s">
        <v>269</v>
      </c>
      <c r="N281">
        <v>1</v>
      </c>
      <c r="O281" s="1">
        <v>46058.411111111112</v>
      </c>
      <c r="Q281" t="s">
        <v>141</v>
      </c>
      <c r="R281" t="s">
        <v>77</v>
      </c>
    </row>
    <row r="282" spans="1:18" ht="15" customHeight="1">
      <c r="A282" t="s">
        <v>744</v>
      </c>
      <c r="B282" s="1">
        <v>46058.460370370369</v>
      </c>
      <c r="C282" t="s">
        <v>453</v>
      </c>
      <c r="D282" t="s">
        <v>9</v>
      </c>
      <c r="E282" t="s">
        <v>1</v>
      </c>
      <c r="F282" t="s">
        <v>37</v>
      </c>
      <c r="G282" t="s">
        <v>20</v>
      </c>
      <c r="H282" s="2" t="s">
        <v>745</v>
      </c>
      <c r="I282" t="s">
        <v>118</v>
      </c>
      <c r="J282" t="s">
        <v>75</v>
      </c>
      <c r="K282" t="s">
        <v>76</v>
      </c>
      <c r="L282" t="s">
        <v>118</v>
      </c>
      <c r="N282">
        <v>0</v>
      </c>
      <c r="P282" t="s">
        <v>97</v>
      </c>
      <c r="Q282" t="s">
        <v>98</v>
      </c>
      <c r="R282" t="s">
        <v>118</v>
      </c>
    </row>
    <row r="283" spans="1:18" ht="15" customHeight="1">
      <c r="A283" t="s">
        <v>746</v>
      </c>
      <c r="B283" s="1">
        <v>46058.464189814818</v>
      </c>
      <c r="C283" t="s">
        <v>61</v>
      </c>
      <c r="D283" t="s">
        <v>9</v>
      </c>
      <c r="E283" t="s">
        <v>1</v>
      </c>
      <c r="F283" t="s">
        <v>37</v>
      </c>
      <c r="G283" t="s">
        <v>20</v>
      </c>
      <c r="H283" s="2" t="s">
        <v>747</v>
      </c>
      <c r="I283" t="s">
        <v>118</v>
      </c>
      <c r="J283" t="s">
        <v>75</v>
      </c>
      <c r="K283" t="s">
        <v>76</v>
      </c>
      <c r="L283" t="s">
        <v>118</v>
      </c>
      <c r="N283">
        <v>0</v>
      </c>
      <c r="O283" s="1">
        <v>46064.319189814814</v>
      </c>
      <c r="P283" t="s">
        <v>97</v>
      </c>
      <c r="Q283" t="s">
        <v>211</v>
      </c>
      <c r="R283" t="s">
        <v>118</v>
      </c>
    </row>
    <row r="284" spans="1:18" ht="15" customHeight="1">
      <c r="A284" t="s">
        <v>748</v>
      </c>
      <c r="B284" s="1">
        <v>46058.463969907411</v>
      </c>
      <c r="C284" t="s">
        <v>61</v>
      </c>
      <c r="D284" t="s">
        <v>9</v>
      </c>
      <c r="E284" t="s">
        <v>1</v>
      </c>
      <c r="F284" t="s">
        <v>28</v>
      </c>
      <c r="G284" t="s">
        <v>17</v>
      </c>
      <c r="H284" s="2" t="s">
        <v>749</v>
      </c>
      <c r="I284" t="s">
        <v>386</v>
      </c>
      <c r="J284" t="s">
        <v>75</v>
      </c>
      <c r="K284" t="s">
        <v>81</v>
      </c>
      <c r="L284" t="s">
        <v>386</v>
      </c>
      <c r="N284">
        <v>0</v>
      </c>
      <c r="O284" s="1">
        <v>46064.321284722224</v>
      </c>
      <c r="P284" t="s">
        <v>97</v>
      </c>
      <c r="Q284" t="s">
        <v>98</v>
      </c>
      <c r="R284" t="s">
        <v>125</v>
      </c>
    </row>
    <row r="285" spans="1:18" ht="15" customHeight="1">
      <c r="A285" t="s">
        <v>750</v>
      </c>
      <c r="B285" s="1">
        <v>46058.518900462965</v>
      </c>
      <c r="C285" t="s">
        <v>184</v>
      </c>
      <c r="D285" t="s">
        <v>9</v>
      </c>
      <c r="E285" t="s">
        <v>1</v>
      </c>
      <c r="F285" t="s">
        <v>37</v>
      </c>
      <c r="G285" t="s">
        <v>19</v>
      </c>
      <c r="H285" s="2" t="s">
        <v>751</v>
      </c>
      <c r="I285" t="s">
        <v>118</v>
      </c>
      <c r="J285" t="s">
        <v>75</v>
      </c>
      <c r="K285" t="s">
        <v>76</v>
      </c>
      <c r="L285" t="s">
        <v>118</v>
      </c>
      <c r="N285">
        <v>0</v>
      </c>
      <c r="P285" t="s">
        <v>97</v>
      </c>
      <c r="R285" t="s">
        <v>118</v>
      </c>
    </row>
    <row r="286" spans="1:18" ht="15" customHeight="1">
      <c r="A286" t="s">
        <v>752</v>
      </c>
      <c r="B286" s="1">
        <v>46058.525960648149</v>
      </c>
      <c r="C286" t="s">
        <v>453</v>
      </c>
      <c r="D286" t="s">
        <v>9</v>
      </c>
      <c r="E286" t="s">
        <v>1</v>
      </c>
      <c r="F286" t="s">
        <v>37</v>
      </c>
      <c r="G286" t="s">
        <v>19</v>
      </c>
      <c r="H286" s="2" t="s">
        <v>753</v>
      </c>
      <c r="I286" t="s">
        <v>118</v>
      </c>
      <c r="J286" t="s">
        <v>75</v>
      </c>
      <c r="K286" t="s">
        <v>76</v>
      </c>
      <c r="L286" t="s">
        <v>118</v>
      </c>
      <c r="N286">
        <v>0</v>
      </c>
      <c r="P286" t="s">
        <v>97</v>
      </c>
      <c r="Q286" t="s">
        <v>98</v>
      </c>
      <c r="R286" t="s">
        <v>118</v>
      </c>
    </row>
    <row r="287" spans="1:18" ht="15" customHeight="1">
      <c r="A287" t="s">
        <v>754</v>
      </c>
      <c r="B287" s="1">
        <v>46058.587175925924</v>
      </c>
      <c r="C287" t="s">
        <v>61</v>
      </c>
      <c r="D287" t="s">
        <v>9</v>
      </c>
      <c r="E287" t="s">
        <v>63</v>
      </c>
      <c r="H287" t="s">
        <v>171</v>
      </c>
      <c r="I287" t="s">
        <v>121</v>
      </c>
      <c r="J287" t="s">
        <v>75</v>
      </c>
      <c r="K287" t="s">
        <v>76</v>
      </c>
      <c r="L287" t="s">
        <v>121</v>
      </c>
      <c r="N287">
        <v>1</v>
      </c>
      <c r="O287" s="1">
        <v>46058.588796296295</v>
      </c>
      <c r="Q287" t="s">
        <v>69</v>
      </c>
      <c r="R287" t="s">
        <v>92</v>
      </c>
    </row>
    <row r="288" spans="1:18" ht="15" customHeight="1">
      <c r="A288" t="s">
        <v>755</v>
      </c>
      <c r="B288" s="1">
        <v>46058.597997685189</v>
      </c>
      <c r="C288" t="s">
        <v>61</v>
      </c>
      <c r="D288" t="s">
        <v>9</v>
      </c>
      <c r="E288" t="s">
        <v>63</v>
      </c>
      <c r="H288" t="s">
        <v>171</v>
      </c>
      <c r="I288" t="s">
        <v>175</v>
      </c>
      <c r="J288" t="s">
        <v>75</v>
      </c>
      <c r="K288" t="s">
        <v>76</v>
      </c>
      <c r="L288" t="s">
        <v>175</v>
      </c>
      <c r="N288">
        <v>1</v>
      </c>
      <c r="O288" s="1">
        <v>46058.599988425929</v>
      </c>
      <c r="Q288" t="s">
        <v>69</v>
      </c>
      <c r="R288" t="s">
        <v>92</v>
      </c>
    </row>
    <row r="289" spans="1:18" ht="15" customHeight="1">
      <c r="A289" t="s">
        <v>756</v>
      </c>
      <c r="B289" s="1">
        <v>46058.635578703703</v>
      </c>
      <c r="C289" t="s">
        <v>61</v>
      </c>
      <c r="D289" t="s">
        <v>9</v>
      </c>
      <c r="E289" t="s">
        <v>63</v>
      </c>
      <c r="H289" t="s">
        <v>718</v>
      </c>
      <c r="I289" t="s">
        <v>757</v>
      </c>
      <c r="J289" t="s">
        <v>75</v>
      </c>
      <c r="K289" t="s">
        <v>76</v>
      </c>
      <c r="L289" t="s">
        <v>757</v>
      </c>
      <c r="N289">
        <v>1</v>
      </c>
      <c r="O289" s="1">
        <v>46058.637071759258</v>
      </c>
      <c r="Q289" t="s">
        <v>69</v>
      </c>
      <c r="R289" t="s">
        <v>354</v>
      </c>
    </row>
    <row r="290" spans="1:18" ht="15" customHeight="1">
      <c r="A290" t="s">
        <v>758</v>
      </c>
      <c r="B290" s="1">
        <v>46058.638055555559</v>
      </c>
      <c r="C290" t="s">
        <v>425</v>
      </c>
      <c r="D290" t="s">
        <v>9</v>
      </c>
      <c r="E290" t="s">
        <v>1</v>
      </c>
      <c r="F290" t="s">
        <v>28</v>
      </c>
      <c r="G290" t="s">
        <v>10</v>
      </c>
      <c r="H290" s="2" t="s">
        <v>759</v>
      </c>
      <c r="I290" t="s">
        <v>167</v>
      </c>
      <c r="J290" t="s">
        <v>75</v>
      </c>
      <c r="K290" t="s">
        <v>76</v>
      </c>
      <c r="L290" t="s">
        <v>167</v>
      </c>
      <c r="N290">
        <v>0</v>
      </c>
      <c r="O290" s="1">
        <v>46064.318206018521</v>
      </c>
      <c r="P290" t="s">
        <v>97</v>
      </c>
      <c r="Q290" t="s">
        <v>98</v>
      </c>
      <c r="R290" t="s">
        <v>167</v>
      </c>
    </row>
    <row r="291" spans="1:18" ht="15" customHeight="1">
      <c r="A291" t="s">
        <v>760</v>
      </c>
      <c r="B291" s="1">
        <v>46058.65421296296</v>
      </c>
      <c r="C291" t="s">
        <v>61</v>
      </c>
      <c r="D291" t="s">
        <v>9</v>
      </c>
      <c r="E291" t="s">
        <v>63</v>
      </c>
      <c r="H291" s="2" t="s">
        <v>761</v>
      </c>
      <c r="I291" t="s">
        <v>219</v>
      </c>
      <c r="J291" t="s">
        <v>75</v>
      </c>
      <c r="K291" t="s">
        <v>76</v>
      </c>
      <c r="L291" t="s">
        <v>219</v>
      </c>
      <c r="N291">
        <v>0</v>
      </c>
      <c r="O291" s="1">
        <v>46063.566805555558</v>
      </c>
      <c r="P291" t="s">
        <v>91</v>
      </c>
      <c r="Q291" t="s">
        <v>147</v>
      </c>
      <c r="R291" t="s">
        <v>125</v>
      </c>
    </row>
    <row r="292" spans="1:18" ht="15" customHeight="1">
      <c r="A292" t="s">
        <v>762</v>
      </c>
      <c r="B292" s="1">
        <v>46058.791759259257</v>
      </c>
      <c r="C292" t="s">
        <v>61</v>
      </c>
      <c r="D292" t="s">
        <v>9</v>
      </c>
      <c r="E292" t="s">
        <v>1</v>
      </c>
      <c r="F292" t="s">
        <v>27</v>
      </c>
      <c r="G292" t="s">
        <v>11</v>
      </c>
      <c r="H292" s="2" t="s">
        <v>763</v>
      </c>
      <c r="I292" t="s">
        <v>90</v>
      </c>
      <c r="J292" t="s">
        <v>75</v>
      </c>
      <c r="K292" t="s">
        <v>81</v>
      </c>
      <c r="L292" t="s">
        <v>90</v>
      </c>
      <c r="N292">
        <v>0</v>
      </c>
      <c r="O292" s="1">
        <v>46071.31517361111</v>
      </c>
      <c r="P292" t="s">
        <v>97</v>
      </c>
      <c r="Q292" t="s">
        <v>69</v>
      </c>
      <c r="R292" t="s">
        <v>125</v>
      </c>
    </row>
    <row r="293" spans="1:18" ht="15" customHeight="1">
      <c r="A293" t="s">
        <v>764</v>
      </c>
      <c r="B293" s="1">
        <v>46058.80395833333</v>
      </c>
      <c r="C293" t="s">
        <v>61</v>
      </c>
      <c r="D293" t="s">
        <v>9</v>
      </c>
      <c r="E293" t="s">
        <v>1</v>
      </c>
      <c r="F293" t="s">
        <v>29</v>
      </c>
      <c r="G293" t="s">
        <v>11</v>
      </c>
      <c r="H293" s="2" t="s">
        <v>765</v>
      </c>
      <c r="I293" t="s">
        <v>389</v>
      </c>
      <c r="J293" t="s">
        <v>75</v>
      </c>
      <c r="K293" t="s">
        <v>81</v>
      </c>
      <c r="L293" t="s">
        <v>389</v>
      </c>
      <c r="N293">
        <v>0</v>
      </c>
      <c r="O293" s="1">
        <v>46062.493831018517</v>
      </c>
      <c r="P293" t="s">
        <v>82</v>
      </c>
      <c r="Q293" t="s">
        <v>69</v>
      </c>
      <c r="R293" t="s">
        <v>125</v>
      </c>
    </row>
    <row r="294" spans="1:18" ht="15" customHeight="1">
      <c r="A294" t="s">
        <v>766</v>
      </c>
      <c r="B294" s="1">
        <v>46058.810555555552</v>
      </c>
      <c r="C294" t="s">
        <v>61</v>
      </c>
      <c r="D294" t="s">
        <v>9</v>
      </c>
      <c r="E294" t="s">
        <v>1</v>
      </c>
      <c r="F294" t="s">
        <v>26</v>
      </c>
      <c r="G294" t="s">
        <v>12</v>
      </c>
      <c r="H294" s="2" t="s">
        <v>767</v>
      </c>
      <c r="I294" t="s">
        <v>214</v>
      </c>
      <c r="J294" t="s">
        <v>75</v>
      </c>
      <c r="K294" t="s">
        <v>81</v>
      </c>
      <c r="L294" t="s">
        <v>214</v>
      </c>
      <c r="N294">
        <v>0</v>
      </c>
      <c r="O294" s="1">
        <v>46071.313969907409</v>
      </c>
      <c r="P294" t="s">
        <v>97</v>
      </c>
      <c r="Q294" t="s">
        <v>98</v>
      </c>
      <c r="R294" t="s">
        <v>125</v>
      </c>
    </row>
    <row r="295" spans="1:18" ht="15" customHeight="1">
      <c r="A295" t="s">
        <v>768</v>
      </c>
      <c r="B295" s="1">
        <v>46059.405694444446</v>
      </c>
      <c r="C295" t="s">
        <v>61</v>
      </c>
      <c r="D295" t="s">
        <v>9</v>
      </c>
      <c r="E295" t="s">
        <v>1</v>
      </c>
      <c r="F295" t="s">
        <v>36</v>
      </c>
      <c r="G295" t="s">
        <v>21</v>
      </c>
      <c r="H295" t="s">
        <v>769</v>
      </c>
      <c r="I295" t="s">
        <v>337</v>
      </c>
      <c r="J295" t="s">
        <v>75</v>
      </c>
      <c r="K295" t="s">
        <v>81</v>
      </c>
      <c r="L295" t="s">
        <v>337</v>
      </c>
      <c r="N295">
        <v>0</v>
      </c>
      <c r="O295" s="1">
        <v>46069.468148148146</v>
      </c>
      <c r="P295" t="s">
        <v>82</v>
      </c>
      <c r="Q295" t="s">
        <v>69</v>
      </c>
      <c r="R295" t="s">
        <v>83</v>
      </c>
    </row>
    <row r="296" spans="1:18" ht="15" customHeight="1">
      <c r="A296" t="s">
        <v>770</v>
      </c>
      <c r="B296" s="1">
        <v>46059.411504629628</v>
      </c>
      <c r="C296" t="s">
        <v>165</v>
      </c>
      <c r="D296" t="s">
        <v>9</v>
      </c>
      <c r="E296" t="s">
        <v>1</v>
      </c>
      <c r="F296" t="s">
        <v>36</v>
      </c>
      <c r="G296" t="s">
        <v>21</v>
      </c>
      <c r="H296" t="s">
        <v>771</v>
      </c>
      <c r="I296" t="s">
        <v>113</v>
      </c>
      <c r="J296" t="s">
        <v>75</v>
      </c>
      <c r="K296" t="s">
        <v>81</v>
      </c>
      <c r="L296" t="s">
        <v>113</v>
      </c>
      <c r="N296">
        <v>0</v>
      </c>
      <c r="P296" t="s">
        <v>82</v>
      </c>
      <c r="R296" t="s">
        <v>83</v>
      </c>
    </row>
    <row r="297" spans="1:18" ht="15" customHeight="1">
      <c r="A297" t="s">
        <v>772</v>
      </c>
      <c r="B297" s="1">
        <v>46059.500497685185</v>
      </c>
      <c r="C297" t="s">
        <v>61</v>
      </c>
      <c r="D297" t="s">
        <v>9</v>
      </c>
      <c r="E297" t="s">
        <v>63</v>
      </c>
      <c r="H297" s="2" t="s">
        <v>174</v>
      </c>
      <c r="I297" t="s">
        <v>121</v>
      </c>
      <c r="J297" t="s">
        <v>75</v>
      </c>
      <c r="K297" t="s">
        <v>76</v>
      </c>
      <c r="L297" t="s">
        <v>121</v>
      </c>
      <c r="N297">
        <v>1</v>
      </c>
      <c r="O297" s="1">
        <v>46059.50172453704</v>
      </c>
      <c r="Q297" t="s">
        <v>147</v>
      </c>
      <c r="R297" t="s">
        <v>125</v>
      </c>
    </row>
    <row r="298" spans="1:18" ht="15" customHeight="1">
      <c r="A298" t="s">
        <v>773</v>
      </c>
      <c r="B298" s="1">
        <v>46059.522245370368</v>
      </c>
      <c r="C298" t="s">
        <v>61</v>
      </c>
      <c r="D298" t="s">
        <v>9</v>
      </c>
      <c r="E298" t="s">
        <v>1</v>
      </c>
      <c r="F298" t="s">
        <v>37</v>
      </c>
      <c r="G298" t="s">
        <v>11</v>
      </c>
      <c r="H298" s="2" t="s">
        <v>774</v>
      </c>
      <c r="I298" t="s">
        <v>118</v>
      </c>
      <c r="J298" t="s">
        <v>96</v>
      </c>
      <c r="K298" t="s">
        <v>76</v>
      </c>
      <c r="L298" t="s">
        <v>118</v>
      </c>
      <c r="N298">
        <v>0</v>
      </c>
      <c r="O298" s="1">
        <v>46064.318576388891</v>
      </c>
      <c r="P298" t="s">
        <v>97</v>
      </c>
      <c r="Q298" t="s">
        <v>98</v>
      </c>
      <c r="R298" t="s">
        <v>118</v>
      </c>
    </row>
    <row r="299" spans="1:18" ht="15" customHeight="1">
      <c r="A299" t="s">
        <v>775</v>
      </c>
      <c r="B299" s="1">
        <v>46059.529363425929</v>
      </c>
      <c r="C299" t="s">
        <v>61</v>
      </c>
      <c r="D299" t="s">
        <v>9</v>
      </c>
      <c r="E299" t="s">
        <v>1</v>
      </c>
      <c r="F299" t="s">
        <v>28</v>
      </c>
      <c r="G299" t="s">
        <v>12</v>
      </c>
      <c r="H299" s="2" t="s">
        <v>776</v>
      </c>
      <c r="I299" t="s">
        <v>118</v>
      </c>
      <c r="J299" t="s">
        <v>75</v>
      </c>
      <c r="K299" t="s">
        <v>76</v>
      </c>
      <c r="L299" t="s">
        <v>118</v>
      </c>
      <c r="N299">
        <v>0</v>
      </c>
      <c r="O299" s="1">
        <v>46064.321064814816</v>
      </c>
      <c r="P299" t="s">
        <v>97</v>
      </c>
      <c r="Q299" t="s">
        <v>211</v>
      </c>
      <c r="R299" t="s">
        <v>118</v>
      </c>
    </row>
    <row r="300" spans="1:18" ht="15" customHeight="1">
      <c r="A300" t="s">
        <v>777</v>
      </c>
      <c r="B300" s="1">
        <v>46059.56145833333</v>
      </c>
      <c r="C300" t="s">
        <v>61</v>
      </c>
      <c r="D300" t="s">
        <v>9</v>
      </c>
      <c r="E300" t="s">
        <v>63</v>
      </c>
      <c r="H300" s="2" t="s">
        <v>174</v>
      </c>
      <c r="I300" t="s">
        <v>121</v>
      </c>
      <c r="J300" t="s">
        <v>75</v>
      </c>
      <c r="K300" t="s">
        <v>76</v>
      </c>
      <c r="L300" t="s">
        <v>121</v>
      </c>
      <c r="N300">
        <v>1</v>
      </c>
      <c r="O300" s="1">
        <v>46059.562199074076</v>
      </c>
      <c r="Q300" t="s">
        <v>176</v>
      </c>
      <c r="R300" t="s">
        <v>125</v>
      </c>
    </row>
    <row r="301" spans="1:18" ht="15" customHeight="1">
      <c r="A301" t="s">
        <v>778</v>
      </c>
      <c r="B301" s="1">
        <v>46059.621307870373</v>
      </c>
      <c r="C301" t="s">
        <v>61</v>
      </c>
      <c r="D301" t="s">
        <v>9</v>
      </c>
      <c r="E301" t="s">
        <v>63</v>
      </c>
      <c r="H301" s="2" t="s">
        <v>779</v>
      </c>
      <c r="I301" t="s">
        <v>256</v>
      </c>
      <c r="J301" t="s">
        <v>75</v>
      </c>
      <c r="K301" t="s">
        <v>76</v>
      </c>
      <c r="L301" t="s">
        <v>256</v>
      </c>
      <c r="N301">
        <v>1</v>
      </c>
      <c r="O301" s="1">
        <v>46059.631805555553</v>
      </c>
      <c r="Q301" t="s">
        <v>141</v>
      </c>
      <c r="R301" t="s">
        <v>780</v>
      </c>
    </row>
    <row r="302" spans="1:18" ht="15" customHeight="1">
      <c r="A302" t="s">
        <v>781</v>
      </c>
      <c r="B302" s="1">
        <v>46059.64271990741</v>
      </c>
      <c r="C302" t="s">
        <v>61</v>
      </c>
      <c r="D302" t="s">
        <v>9</v>
      </c>
      <c r="E302" t="s">
        <v>63</v>
      </c>
      <c r="H302" s="2" t="s">
        <v>782</v>
      </c>
      <c r="I302" t="s">
        <v>783</v>
      </c>
      <c r="J302" t="s">
        <v>75</v>
      </c>
      <c r="K302" t="s">
        <v>76</v>
      </c>
      <c r="L302" t="s">
        <v>783</v>
      </c>
      <c r="N302">
        <v>0</v>
      </c>
      <c r="O302" s="1">
        <v>46072.501562500001</v>
      </c>
      <c r="P302" t="s">
        <v>784</v>
      </c>
      <c r="Q302" t="s">
        <v>69</v>
      </c>
      <c r="R302" t="s">
        <v>77</v>
      </c>
    </row>
    <row r="303" spans="1:18" ht="15" customHeight="1">
      <c r="A303" t="s">
        <v>785</v>
      </c>
      <c r="B303" s="1">
        <v>46059.666759259257</v>
      </c>
      <c r="C303" t="s">
        <v>425</v>
      </c>
      <c r="D303" t="s">
        <v>9</v>
      </c>
      <c r="E303" t="s">
        <v>1</v>
      </c>
      <c r="F303" t="s">
        <v>28</v>
      </c>
      <c r="G303" t="s">
        <v>10</v>
      </c>
      <c r="H303" s="2" t="s">
        <v>786</v>
      </c>
      <c r="I303" t="s">
        <v>386</v>
      </c>
      <c r="J303" t="s">
        <v>96</v>
      </c>
      <c r="K303" t="s">
        <v>76</v>
      </c>
      <c r="L303" t="s">
        <v>386</v>
      </c>
      <c r="N303">
        <v>0</v>
      </c>
      <c r="O303" s="1">
        <v>46064.319664351853</v>
      </c>
      <c r="P303" t="s">
        <v>97</v>
      </c>
      <c r="Q303" t="s">
        <v>98</v>
      </c>
      <c r="R303" t="s">
        <v>118</v>
      </c>
    </row>
    <row r="304" spans="1:18" ht="15" customHeight="1">
      <c r="A304" t="s">
        <v>787</v>
      </c>
      <c r="B304" s="1">
        <v>46059.778993055559</v>
      </c>
      <c r="C304" t="s">
        <v>61</v>
      </c>
      <c r="D304" t="s">
        <v>9</v>
      </c>
      <c r="E304" t="s">
        <v>1</v>
      </c>
      <c r="F304" t="s">
        <v>35</v>
      </c>
      <c r="G304" t="s">
        <v>11</v>
      </c>
      <c r="H304" t="s">
        <v>788</v>
      </c>
      <c r="I304" t="s">
        <v>334</v>
      </c>
      <c r="J304" t="s">
        <v>75</v>
      </c>
      <c r="K304" t="s">
        <v>81</v>
      </c>
      <c r="L304" t="s">
        <v>334</v>
      </c>
      <c r="N304">
        <v>0</v>
      </c>
      <c r="O304" s="1">
        <v>46062.611250000002</v>
      </c>
      <c r="P304" t="s">
        <v>82</v>
      </c>
      <c r="Q304" t="s">
        <v>69</v>
      </c>
      <c r="R304" t="s">
        <v>83</v>
      </c>
    </row>
    <row r="305" spans="1:18" ht="15" customHeight="1">
      <c r="A305" t="s">
        <v>789</v>
      </c>
      <c r="B305" s="1">
        <v>46059.798819444448</v>
      </c>
      <c r="C305" t="s">
        <v>61</v>
      </c>
      <c r="D305" t="s">
        <v>9</v>
      </c>
      <c r="E305" t="s">
        <v>1</v>
      </c>
      <c r="F305" t="s">
        <v>37</v>
      </c>
      <c r="G305" t="s">
        <v>21</v>
      </c>
      <c r="H305" t="s">
        <v>790</v>
      </c>
      <c r="I305" t="s">
        <v>708</v>
      </c>
      <c r="J305" t="s">
        <v>75</v>
      </c>
      <c r="K305" t="s">
        <v>81</v>
      </c>
      <c r="L305" t="s">
        <v>708</v>
      </c>
      <c r="N305">
        <v>0</v>
      </c>
      <c r="O305" s="1">
        <v>46071.320034722223</v>
      </c>
      <c r="P305" t="s">
        <v>97</v>
      </c>
      <c r="Q305" t="s">
        <v>117</v>
      </c>
      <c r="R305" t="s">
        <v>83</v>
      </c>
    </row>
    <row r="306" spans="1:18" ht="15" customHeight="1">
      <c r="A306" t="s">
        <v>791</v>
      </c>
      <c r="B306" s="1">
        <v>46059.803055555552</v>
      </c>
      <c r="C306" t="s">
        <v>61</v>
      </c>
      <c r="D306" t="s">
        <v>9</v>
      </c>
      <c r="E306" t="s">
        <v>1</v>
      </c>
      <c r="F306" t="s">
        <v>28</v>
      </c>
      <c r="G306" t="s">
        <v>21</v>
      </c>
      <c r="H306" t="s">
        <v>792</v>
      </c>
      <c r="I306" t="s">
        <v>80</v>
      </c>
      <c r="J306" t="s">
        <v>75</v>
      </c>
      <c r="K306" t="s">
        <v>81</v>
      </c>
      <c r="L306" t="s">
        <v>80</v>
      </c>
      <c r="N306">
        <v>0</v>
      </c>
      <c r="O306" s="1">
        <v>46062.416805555556</v>
      </c>
      <c r="P306" t="s">
        <v>82</v>
      </c>
      <c r="Q306" t="s">
        <v>69</v>
      </c>
      <c r="R306" t="s">
        <v>83</v>
      </c>
    </row>
    <row r="307" spans="1:18" ht="15" customHeight="1">
      <c r="A307" t="s">
        <v>793</v>
      </c>
      <c r="B307" s="1">
        <v>46059.804270833331</v>
      </c>
      <c r="C307" t="s">
        <v>61</v>
      </c>
      <c r="D307" t="s">
        <v>9</v>
      </c>
      <c r="E307" t="s">
        <v>1</v>
      </c>
      <c r="F307" t="s">
        <v>37</v>
      </c>
      <c r="G307" t="s">
        <v>11</v>
      </c>
      <c r="H307" t="s">
        <v>794</v>
      </c>
      <c r="I307" t="s">
        <v>101</v>
      </c>
      <c r="J307" t="s">
        <v>75</v>
      </c>
      <c r="K307" t="s">
        <v>81</v>
      </c>
      <c r="L307" t="s">
        <v>101</v>
      </c>
      <c r="N307">
        <v>0</v>
      </c>
      <c r="O307" s="1">
        <v>46073.312037037038</v>
      </c>
      <c r="P307" t="s">
        <v>97</v>
      </c>
      <c r="Q307" t="s">
        <v>211</v>
      </c>
      <c r="R307" t="s">
        <v>83</v>
      </c>
    </row>
    <row r="308" spans="1:18" ht="15" customHeight="1">
      <c r="A308" t="s">
        <v>795</v>
      </c>
      <c r="B308" s="1">
        <v>46059.944618055553</v>
      </c>
      <c r="C308" t="s">
        <v>61</v>
      </c>
      <c r="D308" t="s">
        <v>62</v>
      </c>
      <c r="E308" t="s">
        <v>63</v>
      </c>
      <c r="H308" s="2" t="s">
        <v>796</v>
      </c>
      <c r="I308" t="s">
        <v>329</v>
      </c>
      <c r="J308" t="s">
        <v>66</v>
      </c>
      <c r="K308" t="s">
        <v>76</v>
      </c>
      <c r="L308" t="s">
        <v>329</v>
      </c>
      <c r="N308">
        <v>0</v>
      </c>
      <c r="O308" s="1">
        <v>46062.445497685185</v>
      </c>
      <c r="P308" t="s">
        <v>97</v>
      </c>
      <c r="Q308" t="s">
        <v>797</v>
      </c>
      <c r="R308" t="s">
        <v>329</v>
      </c>
    </row>
    <row r="309" spans="1:18" ht="15" customHeight="1">
      <c r="A309" t="s">
        <v>798</v>
      </c>
      <c r="B309" s="1">
        <v>46062.392256944448</v>
      </c>
      <c r="C309" t="s">
        <v>61</v>
      </c>
      <c r="D309" t="s">
        <v>9</v>
      </c>
      <c r="E309" t="s">
        <v>63</v>
      </c>
      <c r="H309" t="s">
        <v>799</v>
      </c>
      <c r="I309" t="s">
        <v>432</v>
      </c>
      <c r="J309" t="s">
        <v>75</v>
      </c>
      <c r="K309" t="s">
        <v>76</v>
      </c>
      <c r="L309" t="s">
        <v>432</v>
      </c>
      <c r="N309">
        <v>1</v>
      </c>
      <c r="O309" s="1">
        <v>46062.399004629631</v>
      </c>
      <c r="Q309" t="s">
        <v>69</v>
      </c>
      <c r="R309" t="s">
        <v>92</v>
      </c>
    </row>
    <row r="310" spans="1:18" ht="15" customHeight="1">
      <c r="A310" t="s">
        <v>800</v>
      </c>
      <c r="B310" s="1">
        <v>46062.432291666664</v>
      </c>
      <c r="C310" t="s">
        <v>61</v>
      </c>
      <c r="D310" t="s">
        <v>9</v>
      </c>
      <c r="E310" t="s">
        <v>63</v>
      </c>
      <c r="H310" s="2" t="s">
        <v>801</v>
      </c>
      <c r="I310" t="s">
        <v>802</v>
      </c>
      <c r="J310" t="s">
        <v>75</v>
      </c>
      <c r="K310" t="s">
        <v>76</v>
      </c>
      <c r="L310" t="s">
        <v>802</v>
      </c>
      <c r="N310">
        <v>1</v>
      </c>
      <c r="O310" s="1">
        <v>46062.437916666669</v>
      </c>
      <c r="Q310" t="s">
        <v>69</v>
      </c>
      <c r="R310" t="s">
        <v>77</v>
      </c>
    </row>
    <row r="311" spans="1:18" ht="15" customHeight="1">
      <c r="A311" t="s">
        <v>803</v>
      </c>
      <c r="B311" s="1">
        <v>46062.457037037035</v>
      </c>
      <c r="C311" t="s">
        <v>61</v>
      </c>
      <c r="D311" t="s">
        <v>9</v>
      </c>
      <c r="E311" t="s">
        <v>1</v>
      </c>
      <c r="F311" t="s">
        <v>37</v>
      </c>
      <c r="G311" t="s">
        <v>17</v>
      </c>
      <c r="H311" t="s">
        <v>804</v>
      </c>
      <c r="I311" t="s">
        <v>708</v>
      </c>
      <c r="J311" t="s">
        <v>75</v>
      </c>
      <c r="K311" t="s">
        <v>81</v>
      </c>
      <c r="L311" t="s">
        <v>708</v>
      </c>
      <c r="N311">
        <v>0</v>
      </c>
      <c r="O311" s="1">
        <v>46069.470729166664</v>
      </c>
      <c r="P311" t="s">
        <v>97</v>
      </c>
      <c r="Q311" t="s">
        <v>211</v>
      </c>
      <c r="R311" t="s">
        <v>83</v>
      </c>
    </row>
    <row r="312" spans="1:18" ht="15" customHeight="1">
      <c r="A312" t="s">
        <v>805</v>
      </c>
      <c r="B312" s="1">
        <v>46062.509085648147</v>
      </c>
      <c r="C312" t="s">
        <v>61</v>
      </c>
      <c r="D312" t="s">
        <v>9</v>
      </c>
      <c r="E312" t="s">
        <v>63</v>
      </c>
      <c r="H312" s="2" t="s">
        <v>806</v>
      </c>
      <c r="I312" t="s">
        <v>269</v>
      </c>
      <c r="J312" t="s">
        <v>75</v>
      </c>
      <c r="K312" t="s">
        <v>76</v>
      </c>
      <c r="L312" t="s">
        <v>269</v>
      </c>
      <c r="N312">
        <v>1</v>
      </c>
      <c r="O312" s="1">
        <v>46062.514756944445</v>
      </c>
      <c r="Q312" t="s">
        <v>69</v>
      </c>
      <c r="R312" t="s">
        <v>589</v>
      </c>
    </row>
    <row r="313" spans="1:18" ht="15" customHeight="1">
      <c r="A313" t="s">
        <v>807</v>
      </c>
      <c r="B313" s="1">
        <v>46062.573194444441</v>
      </c>
      <c r="C313" t="s">
        <v>61</v>
      </c>
      <c r="D313" t="s">
        <v>9</v>
      </c>
      <c r="E313" t="s">
        <v>63</v>
      </c>
      <c r="H313" s="2" t="s">
        <v>808</v>
      </c>
      <c r="I313" t="s">
        <v>809</v>
      </c>
      <c r="J313" t="s">
        <v>75</v>
      </c>
      <c r="K313" t="s">
        <v>76</v>
      </c>
      <c r="L313" t="s">
        <v>809</v>
      </c>
      <c r="N313">
        <v>0</v>
      </c>
      <c r="O313" s="1">
        <v>46062.594467592593</v>
      </c>
      <c r="P313" t="s">
        <v>91</v>
      </c>
      <c r="Q313" t="s">
        <v>147</v>
      </c>
      <c r="R313" t="s">
        <v>589</v>
      </c>
    </row>
    <row r="314" spans="1:18" ht="15" customHeight="1">
      <c r="A314" t="s">
        <v>810</v>
      </c>
      <c r="B314" s="1">
        <v>46062.599490740744</v>
      </c>
      <c r="C314" t="s">
        <v>61</v>
      </c>
      <c r="D314" t="s">
        <v>9</v>
      </c>
      <c r="E314" t="s">
        <v>1</v>
      </c>
      <c r="F314" t="s">
        <v>37</v>
      </c>
      <c r="G314" t="s">
        <v>20</v>
      </c>
      <c r="H314" s="2" t="s">
        <v>811</v>
      </c>
      <c r="I314" t="s">
        <v>118</v>
      </c>
      <c r="J314" t="s">
        <v>75</v>
      </c>
      <c r="K314" t="s">
        <v>76</v>
      </c>
      <c r="L314" t="s">
        <v>118</v>
      </c>
      <c r="N314">
        <v>0</v>
      </c>
      <c r="O314" s="1">
        <v>46063.406712962962</v>
      </c>
      <c r="P314" t="s">
        <v>97</v>
      </c>
      <c r="Q314" t="s">
        <v>117</v>
      </c>
      <c r="R314" t="s">
        <v>118</v>
      </c>
    </row>
    <row r="315" spans="1:18" ht="15" customHeight="1">
      <c r="A315" t="s">
        <v>812</v>
      </c>
      <c r="B315" s="1">
        <v>46062.613043981481</v>
      </c>
      <c r="C315" t="s">
        <v>61</v>
      </c>
      <c r="D315" t="s">
        <v>9</v>
      </c>
      <c r="E315" t="s">
        <v>63</v>
      </c>
      <c r="H315" s="2" t="s">
        <v>813</v>
      </c>
      <c r="I315" t="s">
        <v>172</v>
      </c>
      <c r="J315" t="s">
        <v>75</v>
      </c>
      <c r="K315" t="s">
        <v>76</v>
      </c>
      <c r="L315" t="s">
        <v>172</v>
      </c>
      <c r="N315">
        <v>1</v>
      </c>
      <c r="O315" s="1">
        <v>46062.615879629629</v>
      </c>
      <c r="Q315" t="s">
        <v>141</v>
      </c>
      <c r="R315" t="s">
        <v>155</v>
      </c>
    </row>
    <row r="316" spans="1:18" ht="15" customHeight="1">
      <c r="A316" t="s">
        <v>814</v>
      </c>
      <c r="B316" s="1">
        <v>46062.68650462963</v>
      </c>
      <c r="C316" t="s">
        <v>61</v>
      </c>
      <c r="D316" t="s">
        <v>9</v>
      </c>
      <c r="E316" t="s">
        <v>63</v>
      </c>
      <c r="H316" t="s">
        <v>815</v>
      </c>
      <c r="I316" t="s">
        <v>266</v>
      </c>
      <c r="J316" t="s">
        <v>66</v>
      </c>
      <c r="K316" t="s">
        <v>76</v>
      </c>
      <c r="L316" t="s">
        <v>266</v>
      </c>
      <c r="N316">
        <v>1</v>
      </c>
      <c r="O316" s="1">
        <v>46062.690462962964</v>
      </c>
      <c r="Q316" t="s">
        <v>69</v>
      </c>
      <c r="R316" t="s">
        <v>354</v>
      </c>
    </row>
    <row r="317" spans="1:18" ht="15" customHeight="1">
      <c r="A317" t="s">
        <v>816</v>
      </c>
      <c r="B317" s="1">
        <v>46062.725289351853</v>
      </c>
      <c r="C317" t="s">
        <v>61</v>
      </c>
      <c r="D317" t="s">
        <v>9</v>
      </c>
      <c r="E317" t="s">
        <v>63</v>
      </c>
      <c r="H317" s="2" t="s">
        <v>817</v>
      </c>
      <c r="I317" t="s">
        <v>121</v>
      </c>
      <c r="J317" t="s">
        <v>75</v>
      </c>
      <c r="K317" t="s">
        <v>76</v>
      </c>
      <c r="L317" t="s">
        <v>121</v>
      </c>
      <c r="N317">
        <v>1</v>
      </c>
      <c r="O317" s="1">
        <v>46062.72996527778</v>
      </c>
      <c r="Q317" t="s">
        <v>818</v>
      </c>
      <c r="R317" t="s">
        <v>589</v>
      </c>
    </row>
    <row r="318" spans="1:18" ht="15" customHeight="1">
      <c r="A318" t="s">
        <v>819</v>
      </c>
      <c r="B318" s="1">
        <v>46062.797303240739</v>
      </c>
      <c r="C318" t="s">
        <v>453</v>
      </c>
      <c r="D318" t="s">
        <v>9</v>
      </c>
      <c r="E318" t="s">
        <v>1</v>
      </c>
      <c r="F318" t="s">
        <v>40</v>
      </c>
      <c r="G318" t="s">
        <v>11</v>
      </c>
      <c r="H318" t="s">
        <v>820</v>
      </c>
      <c r="I318" t="s">
        <v>821</v>
      </c>
      <c r="J318" t="s">
        <v>75</v>
      </c>
      <c r="K318" t="s">
        <v>81</v>
      </c>
      <c r="L318" t="s">
        <v>821</v>
      </c>
      <c r="N318">
        <v>0</v>
      </c>
      <c r="P318" t="s">
        <v>97</v>
      </c>
      <c r="Q318" t="s">
        <v>117</v>
      </c>
      <c r="R318" t="s">
        <v>83</v>
      </c>
    </row>
    <row r="319" spans="1:18" ht="15" customHeight="1">
      <c r="A319" t="s">
        <v>822</v>
      </c>
      <c r="B319" s="1">
        <v>46062.821550925924</v>
      </c>
      <c r="C319" t="s">
        <v>61</v>
      </c>
      <c r="D319" t="s">
        <v>9</v>
      </c>
      <c r="E319" t="s">
        <v>1</v>
      </c>
      <c r="F319" t="s">
        <v>37</v>
      </c>
      <c r="G319" t="s">
        <v>11</v>
      </c>
      <c r="H319" t="s">
        <v>823</v>
      </c>
      <c r="I319" t="s">
        <v>824</v>
      </c>
      <c r="J319" t="s">
        <v>75</v>
      </c>
      <c r="K319" t="s">
        <v>81</v>
      </c>
      <c r="L319" t="s">
        <v>824</v>
      </c>
      <c r="N319">
        <v>0</v>
      </c>
      <c r="O319" s="1">
        <v>46063.339629629627</v>
      </c>
      <c r="P319" t="s">
        <v>82</v>
      </c>
      <c r="Q319" t="s">
        <v>69</v>
      </c>
      <c r="R319" t="s">
        <v>83</v>
      </c>
    </row>
    <row r="320" spans="1:18" ht="15" customHeight="1">
      <c r="A320" t="s">
        <v>825</v>
      </c>
      <c r="B320" s="1">
        <v>46062.829687500001</v>
      </c>
      <c r="C320" t="s">
        <v>61</v>
      </c>
      <c r="D320" t="s">
        <v>9</v>
      </c>
      <c r="E320" t="s">
        <v>1</v>
      </c>
      <c r="F320" t="s">
        <v>27</v>
      </c>
      <c r="G320" t="s">
        <v>14</v>
      </c>
      <c r="H320" t="s">
        <v>826</v>
      </c>
      <c r="I320" t="s">
        <v>124</v>
      </c>
      <c r="J320" t="s">
        <v>75</v>
      </c>
      <c r="K320" t="s">
        <v>81</v>
      </c>
      <c r="L320" t="s">
        <v>124</v>
      </c>
      <c r="N320">
        <v>0</v>
      </c>
      <c r="O320" s="1">
        <v>46071.319224537037</v>
      </c>
      <c r="P320" t="s">
        <v>97</v>
      </c>
      <c r="Q320" t="s">
        <v>69</v>
      </c>
      <c r="R320" t="s">
        <v>83</v>
      </c>
    </row>
    <row r="321" spans="1:18" ht="15" customHeight="1">
      <c r="A321" t="s">
        <v>827</v>
      </c>
      <c r="B321" s="1">
        <v>46063.270648148151</v>
      </c>
      <c r="C321" t="s">
        <v>61</v>
      </c>
      <c r="D321" t="s">
        <v>62</v>
      </c>
      <c r="E321" t="s">
        <v>63</v>
      </c>
      <c r="H321" t="s">
        <v>828</v>
      </c>
      <c r="I321" t="s">
        <v>497</v>
      </c>
      <c r="J321" t="s">
        <v>66</v>
      </c>
      <c r="K321" t="s">
        <v>76</v>
      </c>
      <c r="L321" t="s">
        <v>497</v>
      </c>
      <c r="N321">
        <v>0</v>
      </c>
      <c r="O321" s="1">
        <v>46064.349131944444</v>
      </c>
      <c r="P321" t="s">
        <v>97</v>
      </c>
      <c r="Q321" t="s">
        <v>69</v>
      </c>
      <c r="R321" t="s">
        <v>497</v>
      </c>
    </row>
    <row r="322" spans="1:18" ht="15" customHeight="1">
      <c r="A322" t="s">
        <v>829</v>
      </c>
      <c r="B322" s="1">
        <v>46063.390879629631</v>
      </c>
      <c r="C322" t="s">
        <v>61</v>
      </c>
      <c r="D322" t="s">
        <v>9</v>
      </c>
      <c r="E322" t="s">
        <v>63</v>
      </c>
      <c r="H322" t="s">
        <v>171</v>
      </c>
      <c r="I322" t="s">
        <v>444</v>
      </c>
      <c r="J322" t="s">
        <v>75</v>
      </c>
      <c r="K322" t="s">
        <v>76</v>
      </c>
      <c r="L322" t="s">
        <v>444</v>
      </c>
      <c r="N322">
        <v>1</v>
      </c>
      <c r="O322" s="1">
        <v>46063.391608796293</v>
      </c>
      <c r="Q322" t="s">
        <v>69</v>
      </c>
      <c r="R322" t="s">
        <v>77</v>
      </c>
    </row>
    <row r="323" spans="1:18" ht="15" customHeight="1">
      <c r="A323" t="s">
        <v>830</v>
      </c>
      <c r="B323" s="1">
        <v>46063.436620370368</v>
      </c>
      <c r="C323" t="s">
        <v>61</v>
      </c>
      <c r="D323" t="s">
        <v>9</v>
      </c>
      <c r="E323" t="s">
        <v>63</v>
      </c>
      <c r="H323" t="s">
        <v>831</v>
      </c>
      <c r="I323" t="s">
        <v>124</v>
      </c>
      <c r="J323" t="s">
        <v>75</v>
      </c>
      <c r="K323" t="s">
        <v>76</v>
      </c>
      <c r="L323" t="s">
        <v>124</v>
      </c>
      <c r="N323">
        <v>1</v>
      </c>
      <c r="O323" s="1">
        <v>46063.438946759263</v>
      </c>
      <c r="Q323" t="s">
        <v>147</v>
      </c>
      <c r="R323" t="s">
        <v>87</v>
      </c>
    </row>
    <row r="324" spans="1:18" ht="15" customHeight="1">
      <c r="A324" t="s">
        <v>832</v>
      </c>
      <c r="B324" s="1">
        <v>46063.464120370372</v>
      </c>
      <c r="C324" t="s">
        <v>61</v>
      </c>
      <c r="D324" t="s">
        <v>9</v>
      </c>
      <c r="E324" t="s">
        <v>1</v>
      </c>
      <c r="F324" t="s">
        <v>31</v>
      </c>
      <c r="G324" t="s">
        <v>11</v>
      </c>
      <c r="H324" t="s">
        <v>833</v>
      </c>
      <c r="I324" t="s">
        <v>834</v>
      </c>
      <c r="J324" t="s">
        <v>75</v>
      </c>
      <c r="K324" t="s">
        <v>76</v>
      </c>
      <c r="L324" t="s">
        <v>834</v>
      </c>
      <c r="N324">
        <v>0</v>
      </c>
      <c r="O324" s="1">
        <v>46063.486168981479</v>
      </c>
      <c r="P324" t="s">
        <v>82</v>
      </c>
      <c r="Q324" t="s">
        <v>69</v>
      </c>
      <c r="R324" t="s">
        <v>780</v>
      </c>
    </row>
    <row r="325" spans="1:18" ht="15" customHeight="1">
      <c r="A325" t="s">
        <v>835</v>
      </c>
      <c r="B325" s="1">
        <v>46063.455358796295</v>
      </c>
      <c r="C325" t="s">
        <v>61</v>
      </c>
      <c r="D325" t="s">
        <v>9</v>
      </c>
      <c r="E325" t="s">
        <v>63</v>
      </c>
      <c r="H325" t="s">
        <v>836</v>
      </c>
      <c r="I325" t="s">
        <v>309</v>
      </c>
      <c r="J325" t="s">
        <v>75</v>
      </c>
      <c r="K325" t="s">
        <v>76</v>
      </c>
      <c r="L325" t="s">
        <v>309</v>
      </c>
      <c r="N325">
        <v>1</v>
      </c>
      <c r="O325" s="1">
        <v>46063.506249999999</v>
      </c>
      <c r="Q325" t="s">
        <v>69</v>
      </c>
      <c r="R325" t="s">
        <v>92</v>
      </c>
    </row>
    <row r="326" spans="1:18" ht="15" customHeight="1">
      <c r="A326" t="s">
        <v>837</v>
      </c>
      <c r="B326" s="1">
        <v>46063.598275462966</v>
      </c>
      <c r="C326" t="s">
        <v>294</v>
      </c>
      <c r="D326" t="s">
        <v>9</v>
      </c>
      <c r="E326" t="s">
        <v>1</v>
      </c>
      <c r="F326" t="s">
        <v>27</v>
      </c>
      <c r="G326" t="s">
        <v>19</v>
      </c>
      <c r="H326" s="2" t="s">
        <v>838</v>
      </c>
      <c r="I326" t="s">
        <v>90</v>
      </c>
      <c r="J326" t="s">
        <v>96</v>
      </c>
      <c r="K326" t="s">
        <v>76</v>
      </c>
      <c r="L326" t="s">
        <v>90</v>
      </c>
      <c r="N326">
        <v>0</v>
      </c>
      <c r="P326" t="s">
        <v>97</v>
      </c>
      <c r="Q326" t="s">
        <v>98</v>
      </c>
      <c r="R326" t="s">
        <v>118</v>
      </c>
    </row>
    <row r="327" spans="1:18" ht="15" customHeight="1">
      <c r="A327" t="s">
        <v>839</v>
      </c>
      <c r="B327" s="1">
        <v>46063.64398148148</v>
      </c>
      <c r="C327" t="s">
        <v>94</v>
      </c>
      <c r="D327" t="s">
        <v>9</v>
      </c>
      <c r="E327" t="s">
        <v>1</v>
      </c>
      <c r="F327" t="s">
        <v>35</v>
      </c>
      <c r="G327" t="s">
        <v>19</v>
      </c>
      <c r="H327" s="2" t="s">
        <v>840</v>
      </c>
      <c r="I327" t="s">
        <v>210</v>
      </c>
      <c r="J327" t="s">
        <v>75</v>
      </c>
      <c r="K327" t="s">
        <v>76</v>
      </c>
      <c r="L327" t="s">
        <v>210</v>
      </c>
      <c r="N327">
        <v>0</v>
      </c>
      <c r="P327" t="s">
        <v>97</v>
      </c>
      <c r="Q327" t="s">
        <v>98</v>
      </c>
      <c r="R327" t="s">
        <v>210</v>
      </c>
    </row>
    <row r="328" spans="1:18" ht="15" customHeight="1">
      <c r="A328" t="s">
        <v>841</v>
      </c>
      <c r="B328" s="1">
        <v>46063.672037037039</v>
      </c>
      <c r="C328" t="s">
        <v>61</v>
      </c>
      <c r="D328" t="s">
        <v>9</v>
      </c>
      <c r="E328" t="s">
        <v>1</v>
      </c>
      <c r="F328" t="s">
        <v>37</v>
      </c>
      <c r="G328" t="s">
        <v>14</v>
      </c>
      <c r="H328" s="2" t="s">
        <v>842</v>
      </c>
      <c r="I328" t="s">
        <v>202</v>
      </c>
      <c r="J328" t="s">
        <v>75</v>
      </c>
      <c r="K328" t="s">
        <v>81</v>
      </c>
      <c r="L328" t="s">
        <v>202</v>
      </c>
      <c r="N328">
        <v>0</v>
      </c>
      <c r="O328" s="1">
        <v>46071.314699074072</v>
      </c>
      <c r="P328" t="s">
        <v>97</v>
      </c>
      <c r="Q328" t="s">
        <v>117</v>
      </c>
      <c r="R328" t="s">
        <v>125</v>
      </c>
    </row>
    <row r="329" spans="1:18" ht="15" customHeight="1">
      <c r="A329" t="s">
        <v>843</v>
      </c>
      <c r="B329" s="1">
        <v>46063.721597222226</v>
      </c>
      <c r="C329" t="s">
        <v>61</v>
      </c>
      <c r="D329" t="s">
        <v>9</v>
      </c>
      <c r="E329" t="s">
        <v>63</v>
      </c>
      <c r="H329" t="s">
        <v>171</v>
      </c>
      <c r="I329" t="s">
        <v>269</v>
      </c>
      <c r="J329" t="s">
        <v>75</v>
      </c>
      <c r="K329" t="s">
        <v>76</v>
      </c>
      <c r="L329" t="s">
        <v>269</v>
      </c>
      <c r="N329">
        <v>1</v>
      </c>
      <c r="O329" s="1">
        <v>46063.722662037035</v>
      </c>
      <c r="Q329" t="s">
        <v>69</v>
      </c>
      <c r="R329" t="s">
        <v>92</v>
      </c>
    </row>
    <row r="330" spans="1:18" ht="15" customHeight="1">
      <c r="A330" t="s">
        <v>844</v>
      </c>
      <c r="B330" s="1">
        <v>46063.731412037036</v>
      </c>
      <c r="C330" t="s">
        <v>184</v>
      </c>
      <c r="D330" t="s">
        <v>9</v>
      </c>
      <c r="E330" t="s">
        <v>1</v>
      </c>
      <c r="F330" t="s">
        <v>34</v>
      </c>
      <c r="G330" t="s">
        <v>11</v>
      </c>
      <c r="H330" t="s">
        <v>845</v>
      </c>
      <c r="I330" t="s">
        <v>309</v>
      </c>
      <c r="J330" t="s">
        <v>75</v>
      </c>
      <c r="K330" t="s">
        <v>81</v>
      </c>
      <c r="L330" t="s">
        <v>309</v>
      </c>
      <c r="N330">
        <v>0</v>
      </c>
      <c r="P330" t="s">
        <v>97</v>
      </c>
      <c r="R330" t="s">
        <v>92</v>
      </c>
    </row>
    <row r="331" spans="1:18" ht="15" customHeight="1">
      <c r="A331" t="s">
        <v>846</v>
      </c>
      <c r="B331" s="1">
        <v>46064.346655092595</v>
      </c>
      <c r="C331" t="s">
        <v>61</v>
      </c>
      <c r="D331" t="s">
        <v>9</v>
      </c>
      <c r="E331" t="s">
        <v>1</v>
      </c>
      <c r="F331" t="s">
        <v>28</v>
      </c>
      <c r="G331" t="s">
        <v>10</v>
      </c>
      <c r="H331" s="2" t="s">
        <v>847</v>
      </c>
      <c r="I331" t="s">
        <v>118</v>
      </c>
      <c r="J331" t="s">
        <v>75</v>
      </c>
      <c r="K331" t="s">
        <v>76</v>
      </c>
      <c r="L331" t="s">
        <v>118</v>
      </c>
      <c r="N331">
        <v>0</v>
      </c>
      <c r="O331" s="1">
        <v>46073.312465277777</v>
      </c>
      <c r="P331" t="s">
        <v>97</v>
      </c>
      <c r="Q331" t="s">
        <v>98</v>
      </c>
      <c r="R331" t="s">
        <v>118</v>
      </c>
    </row>
    <row r="332" spans="1:18" ht="15" customHeight="1">
      <c r="A332" t="s">
        <v>848</v>
      </c>
      <c r="B332" s="1">
        <v>46064.432013888887</v>
      </c>
      <c r="C332" t="s">
        <v>61</v>
      </c>
      <c r="D332" t="s">
        <v>9</v>
      </c>
      <c r="E332" t="s">
        <v>63</v>
      </c>
      <c r="H332" s="2" t="s">
        <v>849</v>
      </c>
      <c r="I332" t="s">
        <v>850</v>
      </c>
      <c r="J332" t="s">
        <v>75</v>
      </c>
      <c r="K332" t="s">
        <v>76</v>
      </c>
      <c r="L332" t="s">
        <v>850</v>
      </c>
      <c r="N332">
        <v>0</v>
      </c>
      <c r="O332" s="1">
        <v>46064.491527777776</v>
      </c>
      <c r="P332" t="s">
        <v>91</v>
      </c>
      <c r="Q332" t="s">
        <v>147</v>
      </c>
      <c r="R332" t="s">
        <v>77</v>
      </c>
    </row>
    <row r="333" spans="1:18" ht="15" customHeight="1">
      <c r="A333" t="s">
        <v>851</v>
      </c>
      <c r="B333" s="1">
        <v>46064.44667824074</v>
      </c>
      <c r="C333" t="s">
        <v>61</v>
      </c>
      <c r="D333" t="s">
        <v>9</v>
      </c>
      <c r="E333" t="s">
        <v>1</v>
      </c>
      <c r="F333" t="s">
        <v>32</v>
      </c>
      <c r="G333" t="s">
        <v>11</v>
      </c>
      <c r="H333" s="2" t="s">
        <v>852</v>
      </c>
      <c r="I333" t="s">
        <v>395</v>
      </c>
      <c r="J333" t="s">
        <v>75</v>
      </c>
      <c r="K333" t="s">
        <v>81</v>
      </c>
      <c r="L333" t="s">
        <v>395</v>
      </c>
      <c r="N333">
        <v>0</v>
      </c>
      <c r="O333" s="1">
        <v>46064.588530092595</v>
      </c>
      <c r="P333" t="s">
        <v>82</v>
      </c>
      <c r="Q333" t="s">
        <v>69</v>
      </c>
      <c r="R333" t="s">
        <v>155</v>
      </c>
    </row>
    <row r="334" spans="1:18" ht="15" customHeight="1">
      <c r="A334" t="s">
        <v>853</v>
      </c>
      <c r="B334" s="1">
        <v>46064.444710648146</v>
      </c>
      <c r="C334" t="s">
        <v>61</v>
      </c>
      <c r="D334" t="s">
        <v>9</v>
      </c>
      <c r="E334" t="s">
        <v>63</v>
      </c>
      <c r="H334" s="2" t="s">
        <v>854</v>
      </c>
      <c r="I334" t="s">
        <v>855</v>
      </c>
      <c r="J334" t="s">
        <v>75</v>
      </c>
      <c r="K334" t="s">
        <v>76</v>
      </c>
      <c r="L334" t="s">
        <v>855</v>
      </c>
      <c r="N334">
        <v>0</v>
      </c>
      <c r="O334" s="1">
        <v>46064.483842592592</v>
      </c>
      <c r="P334" t="s">
        <v>91</v>
      </c>
      <c r="Q334" t="s">
        <v>263</v>
      </c>
      <c r="R334" t="s">
        <v>780</v>
      </c>
    </row>
    <row r="335" spans="1:18" ht="15" customHeight="1">
      <c r="A335" t="s">
        <v>856</v>
      </c>
      <c r="B335" s="1">
        <v>46064.481053240743</v>
      </c>
      <c r="C335" t="s">
        <v>184</v>
      </c>
      <c r="D335" t="s">
        <v>9</v>
      </c>
      <c r="E335" t="s">
        <v>1</v>
      </c>
      <c r="F335" t="s">
        <v>28</v>
      </c>
      <c r="G335" t="s">
        <v>19</v>
      </c>
      <c r="H335" s="2" t="s">
        <v>857</v>
      </c>
      <c r="I335" t="s">
        <v>118</v>
      </c>
      <c r="J335" t="s">
        <v>75</v>
      </c>
      <c r="K335" t="s">
        <v>76</v>
      </c>
      <c r="L335" t="s">
        <v>118</v>
      </c>
      <c r="N335">
        <v>0</v>
      </c>
      <c r="P335" t="s">
        <v>97</v>
      </c>
      <c r="R335" t="s">
        <v>118</v>
      </c>
    </row>
    <row r="336" spans="1:18" ht="15" customHeight="1">
      <c r="A336" t="s">
        <v>858</v>
      </c>
      <c r="B336" s="1">
        <v>46064.527372685188</v>
      </c>
      <c r="C336" t="s">
        <v>184</v>
      </c>
      <c r="D336" t="s">
        <v>9</v>
      </c>
      <c r="E336" t="s">
        <v>1</v>
      </c>
      <c r="F336" t="s">
        <v>28</v>
      </c>
      <c r="G336" t="s">
        <v>10</v>
      </c>
      <c r="H336" s="2" t="s">
        <v>859</v>
      </c>
      <c r="I336" t="s">
        <v>167</v>
      </c>
      <c r="J336" t="s">
        <v>75</v>
      </c>
      <c r="K336" t="s">
        <v>76</v>
      </c>
      <c r="L336" t="s">
        <v>167</v>
      </c>
      <c r="N336">
        <v>0</v>
      </c>
      <c r="P336" t="s">
        <v>97</v>
      </c>
      <c r="R336" t="s">
        <v>167</v>
      </c>
    </row>
    <row r="337" spans="1:18" ht="15" customHeight="1">
      <c r="A337" t="s">
        <v>860</v>
      </c>
      <c r="B337" s="1">
        <v>46064.545729166668</v>
      </c>
      <c r="C337" t="s">
        <v>61</v>
      </c>
      <c r="D337" t="s">
        <v>9</v>
      </c>
      <c r="E337" t="s">
        <v>1</v>
      </c>
      <c r="F337" t="s">
        <v>35</v>
      </c>
      <c r="G337" t="s">
        <v>14</v>
      </c>
      <c r="H337" s="2" t="s">
        <v>861</v>
      </c>
      <c r="I337" t="s">
        <v>259</v>
      </c>
      <c r="J337" t="s">
        <v>75</v>
      </c>
      <c r="K337" t="s">
        <v>81</v>
      </c>
      <c r="L337" t="s">
        <v>259</v>
      </c>
      <c r="N337">
        <v>0</v>
      </c>
      <c r="O337" s="1">
        <v>46071.324479166666</v>
      </c>
      <c r="P337" t="s">
        <v>97</v>
      </c>
      <c r="Q337" t="s">
        <v>211</v>
      </c>
      <c r="R337" t="s">
        <v>77</v>
      </c>
    </row>
    <row r="338" spans="1:18" ht="15" customHeight="1">
      <c r="A338" t="s">
        <v>862</v>
      </c>
      <c r="B338" s="1">
        <v>46064.610972222225</v>
      </c>
      <c r="C338" t="s">
        <v>61</v>
      </c>
      <c r="D338" t="s">
        <v>9</v>
      </c>
      <c r="E338" t="s">
        <v>63</v>
      </c>
      <c r="H338" t="s">
        <v>139</v>
      </c>
      <c r="I338" t="s">
        <v>121</v>
      </c>
      <c r="J338" t="s">
        <v>75</v>
      </c>
      <c r="K338" t="s">
        <v>76</v>
      </c>
      <c r="L338" t="s">
        <v>121</v>
      </c>
      <c r="N338">
        <v>1</v>
      </c>
      <c r="O338" s="1">
        <v>46064.612222222226</v>
      </c>
      <c r="Q338" t="s">
        <v>141</v>
      </c>
      <c r="R338" t="s">
        <v>87</v>
      </c>
    </row>
    <row r="339" spans="1:18" ht="15" customHeight="1">
      <c r="A339" t="s">
        <v>863</v>
      </c>
      <c r="B339" s="1">
        <v>46064.622881944444</v>
      </c>
      <c r="C339" t="s">
        <v>165</v>
      </c>
      <c r="D339" t="s">
        <v>9</v>
      </c>
      <c r="E339" t="s">
        <v>1</v>
      </c>
      <c r="F339" t="s">
        <v>28</v>
      </c>
      <c r="G339" t="s">
        <v>10</v>
      </c>
      <c r="H339" s="2" t="s">
        <v>864</v>
      </c>
      <c r="I339" t="s">
        <v>386</v>
      </c>
      <c r="J339" t="s">
        <v>75</v>
      </c>
      <c r="K339" t="s">
        <v>81</v>
      </c>
      <c r="L339" t="s">
        <v>386</v>
      </c>
      <c r="N339">
        <v>0</v>
      </c>
      <c r="P339" t="s">
        <v>82</v>
      </c>
      <c r="R339" t="s">
        <v>77</v>
      </c>
    </row>
    <row r="340" spans="1:18" ht="15" customHeight="1">
      <c r="A340" t="s">
        <v>865</v>
      </c>
      <c r="B340" s="1">
        <v>46064.674479166664</v>
      </c>
      <c r="C340" t="s">
        <v>61</v>
      </c>
      <c r="D340" t="s">
        <v>9</v>
      </c>
      <c r="E340" t="s">
        <v>1</v>
      </c>
      <c r="F340" t="s">
        <v>31</v>
      </c>
      <c r="G340" t="s">
        <v>11</v>
      </c>
      <c r="H340" s="2" t="s">
        <v>866</v>
      </c>
      <c r="I340" t="s">
        <v>867</v>
      </c>
      <c r="J340" t="s">
        <v>75</v>
      </c>
      <c r="K340" t="s">
        <v>76</v>
      </c>
      <c r="L340" t="s">
        <v>867</v>
      </c>
      <c r="N340">
        <v>0</v>
      </c>
      <c r="O340" s="1">
        <v>46065.47215277778</v>
      </c>
      <c r="P340" t="s">
        <v>82</v>
      </c>
      <c r="Q340" t="s">
        <v>69</v>
      </c>
      <c r="R340" t="s">
        <v>589</v>
      </c>
    </row>
    <row r="341" spans="1:18" ht="15" customHeight="1">
      <c r="A341" t="s">
        <v>868</v>
      </c>
      <c r="B341" s="1">
        <v>46064.772129629629</v>
      </c>
      <c r="C341" t="s">
        <v>184</v>
      </c>
      <c r="D341" t="s">
        <v>9</v>
      </c>
      <c r="E341" t="s">
        <v>1</v>
      </c>
      <c r="F341" t="s">
        <v>26</v>
      </c>
      <c r="G341" t="s">
        <v>19</v>
      </c>
      <c r="H341" s="2" t="s">
        <v>869</v>
      </c>
      <c r="I341" t="s">
        <v>634</v>
      </c>
      <c r="J341" t="s">
        <v>75</v>
      </c>
      <c r="K341" t="s">
        <v>76</v>
      </c>
      <c r="L341" t="s">
        <v>634</v>
      </c>
      <c r="N341">
        <v>0</v>
      </c>
      <c r="P341" t="s">
        <v>97</v>
      </c>
      <c r="R341" t="s">
        <v>118</v>
      </c>
    </row>
    <row r="342" spans="1:18" ht="15" customHeight="1">
      <c r="A342" t="s">
        <v>870</v>
      </c>
      <c r="B342" s="1">
        <v>46065.268750000003</v>
      </c>
      <c r="C342" t="s">
        <v>61</v>
      </c>
      <c r="D342" t="s">
        <v>62</v>
      </c>
      <c r="E342" t="s">
        <v>63</v>
      </c>
      <c r="H342" s="2" t="s">
        <v>871</v>
      </c>
      <c r="I342" t="s">
        <v>329</v>
      </c>
      <c r="J342" t="s">
        <v>66</v>
      </c>
      <c r="K342" t="s">
        <v>76</v>
      </c>
      <c r="L342" t="s">
        <v>329</v>
      </c>
      <c r="N342">
        <v>0</v>
      </c>
      <c r="O342" s="1">
        <v>46066.433148148149</v>
      </c>
      <c r="P342" t="s">
        <v>97</v>
      </c>
      <c r="Q342" t="s">
        <v>69</v>
      </c>
      <c r="R342" t="s">
        <v>329</v>
      </c>
    </row>
    <row r="343" spans="1:18" ht="15" customHeight="1">
      <c r="A343" t="s">
        <v>872</v>
      </c>
      <c r="B343" s="1">
        <v>46065.368148148147</v>
      </c>
      <c r="C343" t="s">
        <v>61</v>
      </c>
      <c r="D343" t="s">
        <v>9</v>
      </c>
      <c r="E343" t="s">
        <v>63</v>
      </c>
      <c r="H343" s="2" t="s">
        <v>873</v>
      </c>
      <c r="I343" t="s">
        <v>104</v>
      </c>
      <c r="J343" t="s">
        <v>75</v>
      </c>
      <c r="K343" t="s">
        <v>76</v>
      </c>
      <c r="L343" t="s">
        <v>104</v>
      </c>
      <c r="N343">
        <v>0</v>
      </c>
      <c r="O343" s="1">
        <v>46065.436655092592</v>
      </c>
      <c r="P343" t="s">
        <v>91</v>
      </c>
      <c r="Q343" t="s">
        <v>263</v>
      </c>
      <c r="R343" t="s">
        <v>77</v>
      </c>
    </row>
    <row r="344" spans="1:18" ht="15" customHeight="1">
      <c r="A344" t="s">
        <v>874</v>
      </c>
      <c r="B344" s="1">
        <v>46065.413275462961</v>
      </c>
      <c r="C344" t="s">
        <v>425</v>
      </c>
      <c r="D344" t="s">
        <v>9</v>
      </c>
      <c r="E344" t="s">
        <v>1</v>
      </c>
      <c r="F344" t="s">
        <v>28</v>
      </c>
      <c r="G344" t="s">
        <v>10</v>
      </c>
      <c r="H344" s="2" t="s">
        <v>875</v>
      </c>
      <c r="I344" t="s">
        <v>80</v>
      </c>
      <c r="J344" t="s">
        <v>96</v>
      </c>
      <c r="K344" t="s">
        <v>76</v>
      </c>
      <c r="L344" t="s">
        <v>80</v>
      </c>
      <c r="N344">
        <v>0</v>
      </c>
      <c r="O344" s="1">
        <v>46071.315439814818</v>
      </c>
      <c r="P344" t="s">
        <v>97</v>
      </c>
      <c r="Q344" t="s">
        <v>98</v>
      </c>
      <c r="R344" t="s">
        <v>167</v>
      </c>
    </row>
    <row r="345" spans="1:18" ht="15" customHeight="1">
      <c r="A345" t="s">
        <v>876</v>
      </c>
      <c r="B345" s="1">
        <v>46065.420752314814</v>
      </c>
      <c r="C345" t="s">
        <v>61</v>
      </c>
      <c r="D345" t="s">
        <v>9</v>
      </c>
      <c r="E345" t="s">
        <v>1</v>
      </c>
      <c r="F345" t="s">
        <v>31</v>
      </c>
      <c r="G345" t="s">
        <v>11</v>
      </c>
      <c r="H345" s="2" t="s">
        <v>877</v>
      </c>
      <c r="I345" t="s">
        <v>641</v>
      </c>
      <c r="J345" t="s">
        <v>75</v>
      </c>
      <c r="K345" t="s">
        <v>76</v>
      </c>
      <c r="L345" t="s">
        <v>641</v>
      </c>
      <c r="N345">
        <v>0</v>
      </c>
      <c r="O345" s="1">
        <v>46066.428923611114</v>
      </c>
      <c r="P345" t="s">
        <v>82</v>
      </c>
      <c r="Q345" t="s">
        <v>69</v>
      </c>
      <c r="R345" t="s">
        <v>155</v>
      </c>
    </row>
    <row r="346" spans="1:18" ht="15" customHeight="1">
      <c r="A346" t="s">
        <v>878</v>
      </c>
      <c r="B346" s="1">
        <v>46065.442546296297</v>
      </c>
      <c r="C346" t="s">
        <v>61</v>
      </c>
      <c r="D346" t="s">
        <v>9</v>
      </c>
      <c r="E346" t="s">
        <v>1</v>
      </c>
      <c r="F346" t="s">
        <v>28</v>
      </c>
      <c r="G346" t="s">
        <v>11</v>
      </c>
      <c r="H346" t="s">
        <v>879</v>
      </c>
      <c r="I346" t="s">
        <v>386</v>
      </c>
      <c r="J346" t="s">
        <v>75</v>
      </c>
      <c r="K346" t="s">
        <v>81</v>
      </c>
      <c r="L346" t="s">
        <v>386</v>
      </c>
      <c r="N346">
        <v>0</v>
      </c>
      <c r="O346" s="1">
        <v>46066.351053240738</v>
      </c>
      <c r="P346" t="s">
        <v>82</v>
      </c>
      <c r="Q346" t="s">
        <v>69</v>
      </c>
      <c r="R346" t="s">
        <v>92</v>
      </c>
    </row>
    <row r="347" spans="1:18" ht="15" customHeight="1">
      <c r="A347" t="s">
        <v>880</v>
      </c>
      <c r="B347" s="1">
        <v>46065.445173611108</v>
      </c>
      <c r="C347" t="s">
        <v>61</v>
      </c>
      <c r="D347" t="s">
        <v>9</v>
      </c>
      <c r="E347" t="s">
        <v>1</v>
      </c>
      <c r="F347" t="s">
        <v>31</v>
      </c>
      <c r="G347" t="s">
        <v>11</v>
      </c>
      <c r="H347" s="2" t="s">
        <v>881</v>
      </c>
      <c r="I347" t="s">
        <v>882</v>
      </c>
      <c r="J347" t="s">
        <v>75</v>
      </c>
      <c r="K347" t="s">
        <v>76</v>
      </c>
      <c r="L347" t="s">
        <v>882</v>
      </c>
      <c r="N347">
        <v>0</v>
      </c>
      <c r="O347" s="1">
        <v>46066.388692129629</v>
      </c>
      <c r="P347" t="s">
        <v>82</v>
      </c>
      <c r="Q347" t="s">
        <v>69</v>
      </c>
      <c r="R347" t="s">
        <v>77</v>
      </c>
    </row>
    <row r="348" spans="1:18" ht="15" customHeight="1">
      <c r="A348" t="s">
        <v>883</v>
      </c>
      <c r="B348" s="1">
        <v>46065.45721064815</v>
      </c>
      <c r="C348" t="s">
        <v>425</v>
      </c>
      <c r="D348" t="s">
        <v>9</v>
      </c>
      <c r="E348" t="s">
        <v>1</v>
      </c>
      <c r="F348" t="s">
        <v>28</v>
      </c>
      <c r="G348" t="s">
        <v>10</v>
      </c>
      <c r="H348" s="2" t="s">
        <v>884</v>
      </c>
      <c r="I348" t="s">
        <v>167</v>
      </c>
      <c r="J348" t="s">
        <v>75</v>
      </c>
      <c r="K348" t="s">
        <v>76</v>
      </c>
      <c r="L348" t="s">
        <v>167</v>
      </c>
      <c r="N348">
        <v>0</v>
      </c>
      <c r="O348" s="1">
        <v>46071.316712962966</v>
      </c>
      <c r="P348" t="s">
        <v>97</v>
      </c>
      <c r="Q348" t="s">
        <v>98</v>
      </c>
      <c r="R348" t="s">
        <v>167</v>
      </c>
    </row>
    <row r="349" spans="1:18" ht="15" customHeight="1">
      <c r="A349" t="s">
        <v>885</v>
      </c>
      <c r="B349" s="1">
        <v>46065.460763888892</v>
      </c>
      <c r="C349" t="s">
        <v>165</v>
      </c>
      <c r="D349" t="s">
        <v>9</v>
      </c>
      <c r="E349" t="s">
        <v>1</v>
      </c>
      <c r="F349" t="s">
        <v>29</v>
      </c>
      <c r="G349" t="s">
        <v>21</v>
      </c>
      <c r="H349" t="s">
        <v>886</v>
      </c>
      <c r="I349" t="s">
        <v>389</v>
      </c>
      <c r="J349" t="s">
        <v>75</v>
      </c>
      <c r="K349" t="s">
        <v>81</v>
      </c>
      <c r="L349" t="s">
        <v>389</v>
      </c>
      <c r="N349">
        <v>0</v>
      </c>
      <c r="P349" t="s">
        <v>82</v>
      </c>
      <c r="R349" t="s">
        <v>92</v>
      </c>
    </row>
    <row r="350" spans="1:18" ht="15" customHeight="1">
      <c r="A350" t="s">
        <v>887</v>
      </c>
      <c r="B350" s="1">
        <v>46065.618113425924</v>
      </c>
      <c r="C350" t="s">
        <v>184</v>
      </c>
      <c r="D350" t="s">
        <v>9</v>
      </c>
      <c r="E350" t="s">
        <v>1</v>
      </c>
      <c r="F350" t="s">
        <v>31</v>
      </c>
      <c r="G350" t="s">
        <v>11</v>
      </c>
      <c r="H350" t="s">
        <v>888</v>
      </c>
      <c r="I350" t="s">
        <v>889</v>
      </c>
      <c r="J350" t="s">
        <v>75</v>
      </c>
      <c r="K350" t="s">
        <v>76</v>
      </c>
      <c r="L350" t="s">
        <v>889</v>
      </c>
      <c r="N350">
        <v>0</v>
      </c>
      <c r="P350" t="s">
        <v>97</v>
      </c>
      <c r="R350" t="s">
        <v>87</v>
      </c>
    </row>
    <row r="351" spans="1:18" ht="15" customHeight="1">
      <c r="A351" t="s">
        <v>890</v>
      </c>
      <c r="B351" s="1">
        <v>46065.630324074074</v>
      </c>
      <c r="C351" t="s">
        <v>61</v>
      </c>
      <c r="D351" t="s">
        <v>9</v>
      </c>
      <c r="E351" t="s">
        <v>1</v>
      </c>
      <c r="F351" t="s">
        <v>30</v>
      </c>
      <c r="G351" t="s">
        <v>14</v>
      </c>
      <c r="H351" t="s">
        <v>891</v>
      </c>
      <c r="I351" t="s">
        <v>892</v>
      </c>
      <c r="J351" t="s">
        <v>75</v>
      </c>
      <c r="K351" t="s">
        <v>81</v>
      </c>
      <c r="L351" t="s">
        <v>892</v>
      </c>
      <c r="N351">
        <v>0</v>
      </c>
      <c r="O351" s="1">
        <v>46069.64912037037</v>
      </c>
      <c r="P351" t="s">
        <v>82</v>
      </c>
      <c r="Q351" t="s">
        <v>69</v>
      </c>
      <c r="R351" t="s">
        <v>92</v>
      </c>
    </row>
    <row r="352" spans="1:18" ht="15" customHeight="1">
      <c r="A352" t="s">
        <v>893</v>
      </c>
      <c r="B352" s="1">
        <v>46065.638020833336</v>
      </c>
      <c r="C352" t="s">
        <v>61</v>
      </c>
      <c r="D352" t="s">
        <v>9</v>
      </c>
      <c r="E352" t="s">
        <v>1</v>
      </c>
      <c r="F352" t="s">
        <v>27</v>
      </c>
      <c r="G352" t="s">
        <v>14</v>
      </c>
      <c r="H352" s="2" t="s">
        <v>894</v>
      </c>
      <c r="I352" t="s">
        <v>895</v>
      </c>
      <c r="J352" t="s">
        <v>75</v>
      </c>
      <c r="K352" t="s">
        <v>76</v>
      </c>
      <c r="L352" t="s">
        <v>895</v>
      </c>
      <c r="N352">
        <v>0</v>
      </c>
      <c r="O352" s="1">
        <v>46071.318692129629</v>
      </c>
      <c r="P352" t="s">
        <v>97</v>
      </c>
      <c r="Q352" t="s">
        <v>69</v>
      </c>
      <c r="R352" t="s">
        <v>77</v>
      </c>
    </row>
    <row r="353" spans="1:18" ht="15" customHeight="1">
      <c r="A353" t="s">
        <v>896</v>
      </c>
      <c r="B353" s="1">
        <v>46065.644120370373</v>
      </c>
      <c r="C353" t="s">
        <v>61</v>
      </c>
      <c r="D353" t="s">
        <v>9</v>
      </c>
      <c r="E353" t="s">
        <v>63</v>
      </c>
      <c r="H353" t="s">
        <v>897</v>
      </c>
      <c r="I353" t="s">
        <v>86</v>
      </c>
      <c r="J353" t="s">
        <v>75</v>
      </c>
      <c r="K353" t="s">
        <v>76</v>
      </c>
      <c r="L353" t="s">
        <v>86</v>
      </c>
      <c r="N353">
        <v>1</v>
      </c>
      <c r="O353" s="1">
        <v>46065.650243055556</v>
      </c>
      <c r="Q353" t="s">
        <v>176</v>
      </c>
      <c r="R353" t="s">
        <v>780</v>
      </c>
    </row>
    <row r="354" spans="1:18" ht="15" customHeight="1">
      <c r="A354" t="s">
        <v>898</v>
      </c>
      <c r="B354" s="1">
        <v>46065.658101851855</v>
      </c>
      <c r="C354" t="s">
        <v>165</v>
      </c>
      <c r="D354" t="s">
        <v>9</v>
      </c>
      <c r="E354" t="s">
        <v>1</v>
      </c>
      <c r="F354" t="s">
        <v>27</v>
      </c>
      <c r="G354" t="s">
        <v>14</v>
      </c>
      <c r="H354" t="s">
        <v>899</v>
      </c>
      <c r="I354" t="s">
        <v>175</v>
      </c>
      <c r="J354" t="s">
        <v>75</v>
      </c>
      <c r="K354" t="s">
        <v>81</v>
      </c>
      <c r="L354" t="s">
        <v>175</v>
      </c>
      <c r="N354">
        <v>0</v>
      </c>
      <c r="P354" t="s">
        <v>82</v>
      </c>
      <c r="R354" t="s">
        <v>92</v>
      </c>
    </row>
    <row r="355" spans="1:18" ht="15" customHeight="1">
      <c r="A355" t="s">
        <v>900</v>
      </c>
      <c r="B355" s="1">
        <v>46065.712881944448</v>
      </c>
      <c r="C355" t="s">
        <v>61</v>
      </c>
      <c r="D355" t="s">
        <v>9</v>
      </c>
      <c r="E355" t="s">
        <v>1</v>
      </c>
      <c r="F355" t="s">
        <v>27</v>
      </c>
      <c r="G355" t="s">
        <v>14</v>
      </c>
      <c r="H355" s="2" t="s">
        <v>901</v>
      </c>
      <c r="I355" t="s">
        <v>172</v>
      </c>
      <c r="J355" t="s">
        <v>75</v>
      </c>
      <c r="K355" t="s">
        <v>81</v>
      </c>
      <c r="L355" t="s">
        <v>172</v>
      </c>
      <c r="N355">
        <v>0</v>
      </c>
      <c r="O355" s="1">
        <v>46071.318391203706</v>
      </c>
      <c r="P355" t="s">
        <v>97</v>
      </c>
      <c r="Q355" t="s">
        <v>69</v>
      </c>
      <c r="R355" t="s">
        <v>92</v>
      </c>
    </row>
    <row r="356" spans="1:18" ht="15" customHeight="1">
      <c r="A356" t="s">
        <v>902</v>
      </c>
      <c r="B356" s="1">
        <v>46065.722326388888</v>
      </c>
      <c r="C356" t="s">
        <v>61</v>
      </c>
      <c r="D356" t="s">
        <v>9</v>
      </c>
      <c r="E356" t="s">
        <v>63</v>
      </c>
      <c r="H356" t="s">
        <v>903</v>
      </c>
      <c r="I356" t="s">
        <v>904</v>
      </c>
      <c r="J356" t="s">
        <v>75</v>
      </c>
      <c r="K356" t="s">
        <v>76</v>
      </c>
      <c r="L356" t="s">
        <v>904</v>
      </c>
      <c r="N356">
        <v>1</v>
      </c>
      <c r="O356" s="1">
        <v>46065.731157407405</v>
      </c>
      <c r="Q356" t="s">
        <v>69</v>
      </c>
      <c r="R356" t="s">
        <v>780</v>
      </c>
    </row>
    <row r="357" spans="1:18" ht="15" customHeight="1">
      <c r="A357" t="s">
        <v>905</v>
      </c>
      <c r="B357" s="1">
        <v>46065.735729166663</v>
      </c>
      <c r="C357" t="s">
        <v>61</v>
      </c>
      <c r="D357" t="s">
        <v>9</v>
      </c>
      <c r="E357" t="s">
        <v>63</v>
      </c>
      <c r="H357" t="s">
        <v>906</v>
      </c>
      <c r="I357" t="s">
        <v>904</v>
      </c>
      <c r="J357" t="s">
        <v>75</v>
      </c>
      <c r="K357" t="s">
        <v>76</v>
      </c>
      <c r="L357" t="s">
        <v>904</v>
      </c>
      <c r="N357">
        <v>0</v>
      </c>
      <c r="O357" s="1">
        <v>46066.379571759258</v>
      </c>
      <c r="P357" t="s">
        <v>91</v>
      </c>
      <c r="Q357" t="s">
        <v>69</v>
      </c>
      <c r="R357" t="s">
        <v>87</v>
      </c>
    </row>
    <row r="358" spans="1:18" ht="15" customHeight="1">
      <c r="A358" t="s">
        <v>907</v>
      </c>
      <c r="B358" s="1">
        <v>46065.750173611108</v>
      </c>
      <c r="C358" t="s">
        <v>61</v>
      </c>
      <c r="D358" t="s">
        <v>9</v>
      </c>
      <c r="E358" t="s">
        <v>1</v>
      </c>
      <c r="F358" t="s">
        <v>27</v>
      </c>
      <c r="G358" t="s">
        <v>11</v>
      </c>
      <c r="H358" s="2" t="s">
        <v>908</v>
      </c>
      <c r="I358" t="s">
        <v>895</v>
      </c>
      <c r="J358" t="s">
        <v>75</v>
      </c>
      <c r="K358" t="s">
        <v>76</v>
      </c>
      <c r="L358" t="s">
        <v>895</v>
      </c>
      <c r="N358">
        <v>0</v>
      </c>
      <c r="O358" s="1">
        <v>46071.31790509259</v>
      </c>
      <c r="P358" t="s">
        <v>97</v>
      </c>
      <c r="Q358" t="s">
        <v>69</v>
      </c>
      <c r="R358" t="s">
        <v>92</v>
      </c>
    </row>
    <row r="359" spans="1:18" ht="15" customHeight="1">
      <c r="A359" t="s">
        <v>909</v>
      </c>
      <c r="B359" s="1">
        <v>46065.77138888889</v>
      </c>
      <c r="C359" t="s">
        <v>165</v>
      </c>
      <c r="D359" t="s">
        <v>9</v>
      </c>
      <c r="E359" t="s">
        <v>1</v>
      </c>
      <c r="F359" t="s">
        <v>36</v>
      </c>
      <c r="G359" t="s">
        <v>11</v>
      </c>
      <c r="H359" t="s">
        <v>910</v>
      </c>
      <c r="I359" t="s">
        <v>113</v>
      </c>
      <c r="J359" t="s">
        <v>75</v>
      </c>
      <c r="K359" t="s">
        <v>81</v>
      </c>
      <c r="L359" t="s">
        <v>113</v>
      </c>
      <c r="N359">
        <v>0</v>
      </c>
      <c r="P359" t="s">
        <v>82</v>
      </c>
      <c r="R359" t="s">
        <v>92</v>
      </c>
    </row>
    <row r="360" spans="1:18" ht="15" customHeight="1">
      <c r="A360" t="s">
        <v>911</v>
      </c>
      <c r="B360" s="1">
        <v>46065.783726851849</v>
      </c>
      <c r="C360" t="s">
        <v>61</v>
      </c>
      <c r="D360" t="s">
        <v>9</v>
      </c>
      <c r="E360" t="s">
        <v>1</v>
      </c>
      <c r="F360" t="s">
        <v>27</v>
      </c>
      <c r="G360" t="s">
        <v>11</v>
      </c>
      <c r="H360" t="s">
        <v>912</v>
      </c>
      <c r="I360" t="s">
        <v>90</v>
      </c>
      <c r="J360" t="s">
        <v>75</v>
      </c>
      <c r="K360" t="s">
        <v>81</v>
      </c>
      <c r="L360" t="s">
        <v>90</v>
      </c>
      <c r="N360">
        <v>0</v>
      </c>
      <c r="O360" s="1">
        <v>46071.31763888889</v>
      </c>
      <c r="P360" t="s">
        <v>97</v>
      </c>
      <c r="Q360" t="s">
        <v>69</v>
      </c>
      <c r="R360" t="s">
        <v>92</v>
      </c>
    </row>
    <row r="361" spans="1:18" ht="15" customHeight="1">
      <c r="A361" t="s">
        <v>913</v>
      </c>
      <c r="B361" s="1">
        <v>46066.275671296295</v>
      </c>
      <c r="C361" t="s">
        <v>61</v>
      </c>
      <c r="D361" t="s">
        <v>62</v>
      </c>
      <c r="E361" t="s">
        <v>63</v>
      </c>
      <c r="H361" s="2" t="s">
        <v>914</v>
      </c>
      <c r="I361" t="s">
        <v>329</v>
      </c>
      <c r="J361" t="s">
        <v>66</v>
      </c>
      <c r="K361" t="s">
        <v>76</v>
      </c>
      <c r="L361" t="s">
        <v>329</v>
      </c>
      <c r="N361">
        <v>0</v>
      </c>
      <c r="O361" s="1">
        <v>46066.432962962965</v>
      </c>
      <c r="P361" t="s">
        <v>97</v>
      </c>
      <c r="Q361" t="s">
        <v>69</v>
      </c>
      <c r="R361" t="s">
        <v>329</v>
      </c>
    </row>
    <row r="362" spans="1:18" ht="15" customHeight="1">
      <c r="A362" t="s">
        <v>915</v>
      </c>
      <c r="B362" s="1">
        <v>46066.396921296298</v>
      </c>
      <c r="C362" t="s">
        <v>61</v>
      </c>
      <c r="D362" t="s">
        <v>9</v>
      </c>
      <c r="E362" t="s">
        <v>1</v>
      </c>
      <c r="F362" t="s">
        <v>27</v>
      </c>
      <c r="G362" t="s">
        <v>14</v>
      </c>
      <c r="H362" t="s">
        <v>916</v>
      </c>
      <c r="I362" t="s">
        <v>917</v>
      </c>
      <c r="J362" t="s">
        <v>75</v>
      </c>
      <c r="K362" t="s">
        <v>81</v>
      </c>
      <c r="L362" t="s">
        <v>917</v>
      </c>
      <c r="N362">
        <v>0</v>
      </c>
      <c r="O362" s="1">
        <v>46071.318159722221</v>
      </c>
      <c r="P362" t="s">
        <v>97</v>
      </c>
      <c r="Q362" t="s">
        <v>69</v>
      </c>
      <c r="R362" t="s">
        <v>92</v>
      </c>
    </row>
    <row r="363" spans="1:18" ht="15" customHeight="1">
      <c r="A363" t="s">
        <v>918</v>
      </c>
      <c r="B363" s="1">
        <v>46066.462546296294</v>
      </c>
      <c r="C363" t="s">
        <v>165</v>
      </c>
      <c r="D363" t="s">
        <v>9</v>
      </c>
      <c r="E363" t="s">
        <v>1</v>
      </c>
      <c r="F363" t="s">
        <v>37</v>
      </c>
      <c r="G363" t="s">
        <v>12</v>
      </c>
      <c r="H363" t="s">
        <v>919</v>
      </c>
      <c r="I363" t="s">
        <v>600</v>
      </c>
      <c r="J363" t="s">
        <v>75</v>
      </c>
      <c r="K363" t="s">
        <v>76</v>
      </c>
      <c r="L363" t="s">
        <v>600</v>
      </c>
      <c r="N363">
        <v>0</v>
      </c>
      <c r="P363" t="s">
        <v>82</v>
      </c>
      <c r="R363" t="s">
        <v>87</v>
      </c>
    </row>
    <row r="364" spans="1:18" ht="15" customHeight="1">
      <c r="A364" t="s">
        <v>920</v>
      </c>
      <c r="B364" s="1">
        <v>46066.528993055559</v>
      </c>
      <c r="C364" t="s">
        <v>61</v>
      </c>
      <c r="D364" t="s">
        <v>9</v>
      </c>
      <c r="E364" t="s">
        <v>1</v>
      </c>
      <c r="F364" t="s">
        <v>37</v>
      </c>
      <c r="G364" t="s">
        <v>11</v>
      </c>
      <c r="H364" s="2" t="s">
        <v>921</v>
      </c>
      <c r="I364" t="s">
        <v>101</v>
      </c>
      <c r="J364" t="s">
        <v>75</v>
      </c>
      <c r="K364" t="s">
        <v>81</v>
      </c>
      <c r="L364" t="s">
        <v>101</v>
      </c>
      <c r="N364">
        <v>0</v>
      </c>
      <c r="O364" s="1">
        <v>46066.587291666663</v>
      </c>
      <c r="P364" t="s">
        <v>82</v>
      </c>
      <c r="Q364" t="s">
        <v>69</v>
      </c>
      <c r="R364" t="s">
        <v>87</v>
      </c>
    </row>
    <row r="365" spans="1:18" ht="15" customHeight="1">
      <c r="A365" t="s">
        <v>922</v>
      </c>
      <c r="B365" s="1">
        <v>46066.65357638889</v>
      </c>
      <c r="C365" t="s">
        <v>184</v>
      </c>
      <c r="D365" t="s">
        <v>9</v>
      </c>
      <c r="E365" t="s">
        <v>1</v>
      </c>
      <c r="F365" t="s">
        <v>37</v>
      </c>
      <c r="G365" t="s">
        <v>19</v>
      </c>
      <c r="H365" s="2" t="s">
        <v>923</v>
      </c>
      <c r="I365" t="s">
        <v>809</v>
      </c>
      <c r="J365" t="s">
        <v>75</v>
      </c>
      <c r="K365" t="s">
        <v>81</v>
      </c>
      <c r="L365" t="s">
        <v>809</v>
      </c>
      <c r="N365">
        <v>0</v>
      </c>
      <c r="P365" t="s">
        <v>97</v>
      </c>
      <c r="R365" t="s">
        <v>87</v>
      </c>
    </row>
    <row r="366" spans="1:18" ht="15" customHeight="1">
      <c r="A366" t="s">
        <v>924</v>
      </c>
      <c r="B366" s="1">
        <v>46066.668726851851</v>
      </c>
      <c r="C366" t="s">
        <v>61</v>
      </c>
      <c r="D366" t="s">
        <v>9</v>
      </c>
      <c r="E366" t="s">
        <v>63</v>
      </c>
      <c r="H366" s="2" t="s">
        <v>925</v>
      </c>
      <c r="I366" t="s">
        <v>207</v>
      </c>
      <c r="J366" t="s">
        <v>66</v>
      </c>
      <c r="K366" t="s">
        <v>76</v>
      </c>
      <c r="L366" t="s">
        <v>207</v>
      </c>
      <c r="N366">
        <v>1</v>
      </c>
      <c r="O366" s="1">
        <v>46066.67083333333</v>
      </c>
      <c r="Q366" t="s">
        <v>69</v>
      </c>
      <c r="R366" t="s">
        <v>589</v>
      </c>
    </row>
    <row r="367" spans="1:18" ht="15" customHeight="1">
      <c r="A367" t="s">
        <v>926</v>
      </c>
      <c r="B367" s="1">
        <v>46069.333229166667</v>
      </c>
      <c r="C367" t="s">
        <v>184</v>
      </c>
      <c r="D367" t="s">
        <v>9</v>
      </c>
      <c r="E367" t="s">
        <v>1</v>
      </c>
      <c r="F367" t="s">
        <v>37</v>
      </c>
      <c r="G367" t="s">
        <v>17</v>
      </c>
      <c r="H367" s="2" t="s">
        <v>927</v>
      </c>
      <c r="I367" t="s">
        <v>118</v>
      </c>
      <c r="J367" t="s">
        <v>75</v>
      </c>
      <c r="K367" t="s">
        <v>76</v>
      </c>
      <c r="L367" t="s">
        <v>118</v>
      </c>
      <c r="N367">
        <v>0</v>
      </c>
      <c r="P367" t="s">
        <v>97</v>
      </c>
      <c r="R367" t="s">
        <v>118</v>
      </c>
    </row>
    <row r="368" spans="1:18" ht="15" customHeight="1">
      <c r="A368" t="s">
        <v>928</v>
      </c>
      <c r="B368" s="1">
        <v>46069.378032407411</v>
      </c>
      <c r="C368" t="s">
        <v>184</v>
      </c>
      <c r="D368" t="s">
        <v>9</v>
      </c>
      <c r="E368" t="s">
        <v>1</v>
      </c>
      <c r="F368" t="s">
        <v>34</v>
      </c>
      <c r="G368" t="s">
        <v>11</v>
      </c>
      <c r="H368" s="2" t="s">
        <v>929</v>
      </c>
      <c r="I368" t="s">
        <v>444</v>
      </c>
      <c r="J368" t="s">
        <v>75</v>
      </c>
      <c r="K368" t="s">
        <v>81</v>
      </c>
      <c r="L368" t="s">
        <v>444</v>
      </c>
      <c r="N368">
        <v>0</v>
      </c>
      <c r="P368" t="s">
        <v>97</v>
      </c>
      <c r="R368" t="s">
        <v>125</v>
      </c>
    </row>
    <row r="369" spans="1:18" ht="15" customHeight="1">
      <c r="A369" t="s">
        <v>930</v>
      </c>
      <c r="B369" s="1">
        <v>46069.450856481482</v>
      </c>
      <c r="C369" t="s">
        <v>184</v>
      </c>
      <c r="D369" t="s">
        <v>9</v>
      </c>
      <c r="E369" t="s">
        <v>1</v>
      </c>
      <c r="F369" t="s">
        <v>26</v>
      </c>
      <c r="G369" t="s">
        <v>19</v>
      </c>
      <c r="H369" t="s">
        <v>931</v>
      </c>
      <c r="I369" t="s">
        <v>214</v>
      </c>
      <c r="J369" t="s">
        <v>75</v>
      </c>
      <c r="K369" t="s">
        <v>81</v>
      </c>
      <c r="L369" t="s">
        <v>214</v>
      </c>
      <c r="N369">
        <v>0</v>
      </c>
      <c r="P369" t="s">
        <v>97</v>
      </c>
      <c r="R369" t="s">
        <v>87</v>
      </c>
    </row>
    <row r="370" spans="1:18" ht="15" customHeight="1">
      <c r="A370" t="s">
        <v>932</v>
      </c>
      <c r="B370" s="1">
        <v>46069.459131944444</v>
      </c>
      <c r="C370" t="s">
        <v>453</v>
      </c>
      <c r="D370" t="s">
        <v>9</v>
      </c>
      <c r="E370" t="s">
        <v>1</v>
      </c>
      <c r="F370" t="s">
        <v>31</v>
      </c>
      <c r="G370" t="s">
        <v>11</v>
      </c>
      <c r="H370" t="s">
        <v>933</v>
      </c>
      <c r="I370" t="s">
        <v>934</v>
      </c>
      <c r="J370" t="s">
        <v>75</v>
      </c>
      <c r="K370" t="s">
        <v>76</v>
      </c>
      <c r="L370" t="s">
        <v>935</v>
      </c>
      <c r="N370">
        <v>0</v>
      </c>
      <c r="P370" t="s">
        <v>97</v>
      </c>
      <c r="Q370" t="s">
        <v>117</v>
      </c>
      <c r="R370" t="s">
        <v>87</v>
      </c>
    </row>
    <row r="371" spans="1:18" ht="15" customHeight="1">
      <c r="A371" t="s">
        <v>936</v>
      </c>
      <c r="B371" s="1">
        <v>46069.481736111113</v>
      </c>
      <c r="C371" t="s">
        <v>61</v>
      </c>
      <c r="D371" t="s">
        <v>9</v>
      </c>
      <c r="E371" t="s">
        <v>1</v>
      </c>
      <c r="F371" t="s">
        <v>27</v>
      </c>
      <c r="G371" t="s">
        <v>14</v>
      </c>
      <c r="H371" s="2" t="s">
        <v>937</v>
      </c>
      <c r="I371" t="s">
        <v>86</v>
      </c>
      <c r="J371" t="s">
        <v>75</v>
      </c>
      <c r="K371" t="s">
        <v>81</v>
      </c>
      <c r="L371" t="s">
        <v>86</v>
      </c>
      <c r="N371">
        <v>0</v>
      </c>
      <c r="O371" s="1">
        <v>46071.320613425924</v>
      </c>
      <c r="P371" t="s">
        <v>97</v>
      </c>
      <c r="Q371" t="s">
        <v>69</v>
      </c>
      <c r="R371" t="s">
        <v>92</v>
      </c>
    </row>
    <row r="372" spans="1:18" ht="15" customHeight="1">
      <c r="A372" t="s">
        <v>938</v>
      </c>
      <c r="B372" s="1">
        <v>46069.55159722222</v>
      </c>
      <c r="C372" t="s">
        <v>61</v>
      </c>
      <c r="D372" t="s">
        <v>9</v>
      </c>
      <c r="E372" t="s">
        <v>1</v>
      </c>
      <c r="F372" t="s">
        <v>28</v>
      </c>
      <c r="G372" t="s">
        <v>11</v>
      </c>
      <c r="H372" s="2" t="s">
        <v>939</v>
      </c>
      <c r="I372" t="s">
        <v>281</v>
      </c>
      <c r="J372" t="s">
        <v>75</v>
      </c>
      <c r="K372" t="s">
        <v>81</v>
      </c>
      <c r="L372" t="s">
        <v>281</v>
      </c>
      <c r="N372">
        <v>0</v>
      </c>
      <c r="O372" s="1">
        <v>46073.312256944446</v>
      </c>
      <c r="P372" t="s">
        <v>97</v>
      </c>
      <c r="Q372" t="s">
        <v>211</v>
      </c>
      <c r="R372" t="s">
        <v>151</v>
      </c>
    </row>
    <row r="373" spans="1:18" ht="15" customHeight="1">
      <c r="A373" t="s">
        <v>940</v>
      </c>
      <c r="B373" s="1">
        <v>46069.63616898148</v>
      </c>
      <c r="C373" t="s">
        <v>61</v>
      </c>
      <c r="D373" t="s">
        <v>9</v>
      </c>
      <c r="E373" t="s">
        <v>63</v>
      </c>
      <c r="H373" s="2" t="s">
        <v>941</v>
      </c>
      <c r="I373" t="s">
        <v>224</v>
      </c>
      <c r="J373" t="s">
        <v>75</v>
      </c>
      <c r="K373" t="s">
        <v>76</v>
      </c>
      <c r="L373" t="s">
        <v>224</v>
      </c>
      <c r="N373">
        <v>1</v>
      </c>
      <c r="O373" s="1">
        <v>46069.6403125</v>
      </c>
      <c r="Q373" t="s">
        <v>141</v>
      </c>
      <c r="R373" t="s">
        <v>155</v>
      </c>
    </row>
    <row r="374" spans="1:18" ht="15" customHeight="1">
      <c r="A374" t="s">
        <v>942</v>
      </c>
      <c r="B374" s="1">
        <v>46069.667430555557</v>
      </c>
      <c r="C374" t="s">
        <v>61</v>
      </c>
      <c r="D374" t="s">
        <v>9</v>
      </c>
      <c r="E374" t="s">
        <v>1</v>
      </c>
      <c r="F374" t="s">
        <v>36</v>
      </c>
      <c r="G374" t="s">
        <v>11</v>
      </c>
      <c r="H374" t="s">
        <v>943</v>
      </c>
      <c r="I374" t="s">
        <v>337</v>
      </c>
      <c r="J374" t="s">
        <v>75</v>
      </c>
      <c r="K374" t="s">
        <v>81</v>
      </c>
      <c r="L374" t="s">
        <v>337</v>
      </c>
      <c r="N374">
        <v>0</v>
      </c>
      <c r="O374" s="1">
        <v>46072.444479166668</v>
      </c>
      <c r="P374" t="s">
        <v>82</v>
      </c>
      <c r="Q374" t="s">
        <v>69</v>
      </c>
      <c r="R374" t="s">
        <v>92</v>
      </c>
    </row>
    <row r="375" spans="1:18" ht="15" customHeight="1">
      <c r="A375" t="s">
        <v>944</v>
      </c>
      <c r="B375" s="1">
        <v>46069.722430555557</v>
      </c>
      <c r="C375" t="s">
        <v>61</v>
      </c>
      <c r="D375" t="s">
        <v>9</v>
      </c>
      <c r="E375" t="s">
        <v>1</v>
      </c>
      <c r="F375" t="s">
        <v>36</v>
      </c>
      <c r="G375" t="s">
        <v>11</v>
      </c>
      <c r="H375" s="2" t="s">
        <v>945</v>
      </c>
      <c r="I375" t="s">
        <v>128</v>
      </c>
      <c r="J375" t="s">
        <v>75</v>
      </c>
      <c r="K375" t="s">
        <v>81</v>
      </c>
      <c r="L375" t="s">
        <v>128</v>
      </c>
      <c r="N375">
        <v>0</v>
      </c>
      <c r="O375" s="1">
        <v>46069.760312500002</v>
      </c>
      <c r="P375" t="s">
        <v>82</v>
      </c>
      <c r="Q375" t="s">
        <v>69</v>
      </c>
      <c r="R375" t="s">
        <v>92</v>
      </c>
    </row>
    <row r="376" spans="1:18" ht="15" customHeight="1">
      <c r="A376" t="s">
        <v>946</v>
      </c>
      <c r="B376" s="1">
        <v>46070.383148148147</v>
      </c>
      <c r="C376" t="s">
        <v>184</v>
      </c>
      <c r="D376" t="s">
        <v>9</v>
      </c>
      <c r="E376" t="s">
        <v>1</v>
      </c>
      <c r="F376" t="s">
        <v>31</v>
      </c>
      <c r="G376" t="s">
        <v>12</v>
      </c>
      <c r="H376" s="2" t="s">
        <v>947</v>
      </c>
      <c r="I376" t="s">
        <v>948</v>
      </c>
      <c r="J376" t="s">
        <v>75</v>
      </c>
      <c r="K376" t="s">
        <v>81</v>
      </c>
      <c r="L376" t="s">
        <v>948</v>
      </c>
      <c r="N376">
        <v>0</v>
      </c>
      <c r="P376" t="s">
        <v>97</v>
      </c>
      <c r="R376" t="s">
        <v>92</v>
      </c>
    </row>
    <row r="377" spans="1:18" ht="15" customHeight="1">
      <c r="A377" t="s">
        <v>949</v>
      </c>
      <c r="B377" s="1">
        <v>46070.385625000003</v>
      </c>
      <c r="C377" t="s">
        <v>61</v>
      </c>
      <c r="D377" t="s">
        <v>9</v>
      </c>
      <c r="E377" t="s">
        <v>1</v>
      </c>
      <c r="F377" t="s">
        <v>35</v>
      </c>
      <c r="G377" t="s">
        <v>11</v>
      </c>
      <c r="H377" t="s">
        <v>950</v>
      </c>
      <c r="I377" t="s">
        <v>334</v>
      </c>
      <c r="J377" t="s">
        <v>75</v>
      </c>
      <c r="K377" t="s">
        <v>81</v>
      </c>
      <c r="L377" t="s">
        <v>334</v>
      </c>
      <c r="N377">
        <v>0</v>
      </c>
      <c r="O377" s="1">
        <v>46070.703460648147</v>
      </c>
      <c r="P377" t="s">
        <v>82</v>
      </c>
      <c r="Q377" t="s">
        <v>69</v>
      </c>
      <c r="R377" t="s">
        <v>92</v>
      </c>
    </row>
    <row r="378" spans="1:18" ht="15" customHeight="1">
      <c r="A378" t="s">
        <v>951</v>
      </c>
      <c r="B378" s="1">
        <v>46070.409409722219</v>
      </c>
      <c r="C378" t="s">
        <v>165</v>
      </c>
      <c r="D378" t="s">
        <v>9</v>
      </c>
      <c r="E378" t="s">
        <v>1</v>
      </c>
      <c r="F378" t="s">
        <v>28</v>
      </c>
      <c r="G378" t="s">
        <v>10</v>
      </c>
      <c r="H378" s="2" t="s">
        <v>952</v>
      </c>
      <c r="I378" t="s">
        <v>150</v>
      </c>
      <c r="J378" t="s">
        <v>75</v>
      </c>
      <c r="K378" t="s">
        <v>81</v>
      </c>
      <c r="L378" t="s">
        <v>150</v>
      </c>
      <c r="N378">
        <v>0</v>
      </c>
      <c r="P378" t="s">
        <v>82</v>
      </c>
      <c r="R378" t="s">
        <v>151</v>
      </c>
    </row>
    <row r="379" spans="1:18" ht="15" customHeight="1">
      <c r="A379" t="s">
        <v>953</v>
      </c>
      <c r="B379" s="1">
        <v>46071.127754629626</v>
      </c>
      <c r="C379" t="s">
        <v>61</v>
      </c>
      <c r="D379" t="s">
        <v>62</v>
      </c>
      <c r="E379" t="s">
        <v>63</v>
      </c>
      <c r="H379" s="2" t="s">
        <v>954</v>
      </c>
      <c r="I379" t="s">
        <v>65</v>
      </c>
      <c r="J379" t="s">
        <v>66</v>
      </c>
      <c r="K379" t="s">
        <v>67</v>
      </c>
      <c r="L379" t="s">
        <v>65</v>
      </c>
      <c r="N379">
        <v>0</v>
      </c>
      <c r="O379" s="1">
        <v>46071.384398148148</v>
      </c>
      <c r="P379" t="s">
        <v>68</v>
      </c>
      <c r="Q379" t="s">
        <v>69</v>
      </c>
      <c r="R379" t="s">
        <v>65</v>
      </c>
    </row>
    <row r="380" spans="1:18" ht="15" customHeight="1">
      <c r="A380" t="s">
        <v>955</v>
      </c>
      <c r="B380" s="1">
        <v>46071.271805555552</v>
      </c>
      <c r="C380" t="s">
        <v>956</v>
      </c>
      <c r="D380" t="s">
        <v>62</v>
      </c>
      <c r="E380" t="s">
        <v>63</v>
      </c>
      <c r="H380" s="2" t="s">
        <v>957</v>
      </c>
      <c r="I380" t="s">
        <v>478</v>
      </c>
      <c r="J380" t="s">
        <v>66</v>
      </c>
      <c r="K380" t="s">
        <v>67</v>
      </c>
      <c r="L380" t="s">
        <v>478</v>
      </c>
      <c r="N380">
        <v>0</v>
      </c>
      <c r="P380" t="s">
        <v>97</v>
      </c>
      <c r="Q380" t="s">
        <v>98</v>
      </c>
      <c r="R380" t="s">
        <v>478</v>
      </c>
    </row>
    <row r="381" spans="1:18" ht="15" customHeight="1">
      <c r="A381" t="s">
        <v>958</v>
      </c>
      <c r="B381" s="1">
        <v>46071.392754629633</v>
      </c>
      <c r="C381" t="s">
        <v>61</v>
      </c>
      <c r="D381" t="s">
        <v>9</v>
      </c>
      <c r="E381" t="s">
        <v>1</v>
      </c>
      <c r="F381" t="s">
        <v>31</v>
      </c>
      <c r="G381" t="s">
        <v>14</v>
      </c>
      <c r="H381" t="s">
        <v>959</v>
      </c>
      <c r="I381" t="s">
        <v>960</v>
      </c>
      <c r="J381" t="s">
        <v>75</v>
      </c>
      <c r="K381" t="s">
        <v>76</v>
      </c>
      <c r="L381" t="s">
        <v>867</v>
      </c>
      <c r="N381">
        <v>0</v>
      </c>
      <c r="O381" s="1">
        <v>46073.653483796297</v>
      </c>
      <c r="P381" t="s">
        <v>82</v>
      </c>
      <c r="Q381" t="s">
        <v>69</v>
      </c>
      <c r="R381" t="s">
        <v>87</v>
      </c>
    </row>
    <row r="382" spans="1:18" ht="15" customHeight="1">
      <c r="A382" t="s">
        <v>961</v>
      </c>
      <c r="B382" s="1">
        <v>46071.490914351853</v>
      </c>
      <c r="C382" t="s">
        <v>184</v>
      </c>
      <c r="D382" t="s">
        <v>9</v>
      </c>
      <c r="E382" t="s">
        <v>1</v>
      </c>
      <c r="F382" t="s">
        <v>28</v>
      </c>
      <c r="G382" t="s">
        <v>17</v>
      </c>
      <c r="H382" s="2" t="s">
        <v>962</v>
      </c>
      <c r="I382" t="s">
        <v>281</v>
      </c>
      <c r="J382" t="s">
        <v>75</v>
      </c>
      <c r="K382" t="s">
        <v>81</v>
      </c>
      <c r="L382" t="s">
        <v>281</v>
      </c>
      <c r="N382">
        <v>0</v>
      </c>
      <c r="P382" t="s">
        <v>97</v>
      </c>
      <c r="R382" t="s">
        <v>77</v>
      </c>
    </row>
    <row r="383" spans="1:18" ht="15" customHeight="1">
      <c r="A383" t="s">
        <v>963</v>
      </c>
      <c r="B383" s="1">
        <v>46071.513148148151</v>
      </c>
      <c r="C383" t="s">
        <v>184</v>
      </c>
      <c r="D383" t="s">
        <v>9</v>
      </c>
      <c r="E383" t="s">
        <v>1</v>
      </c>
      <c r="F383" t="s">
        <v>31</v>
      </c>
      <c r="G383" t="s">
        <v>11</v>
      </c>
      <c r="H383" s="2" t="s">
        <v>964</v>
      </c>
      <c r="I383" t="s">
        <v>965</v>
      </c>
      <c r="J383" t="s">
        <v>75</v>
      </c>
      <c r="K383" t="s">
        <v>81</v>
      </c>
      <c r="L383" t="s">
        <v>965</v>
      </c>
      <c r="N383">
        <v>0</v>
      </c>
      <c r="P383" t="s">
        <v>97</v>
      </c>
      <c r="R383" t="s">
        <v>155</v>
      </c>
    </row>
    <row r="384" spans="1:18" ht="15" customHeight="1">
      <c r="A384" t="s">
        <v>966</v>
      </c>
      <c r="B384" s="1">
        <v>46071.572939814818</v>
      </c>
      <c r="C384" t="s">
        <v>165</v>
      </c>
      <c r="D384" t="s">
        <v>9</v>
      </c>
      <c r="E384" t="s">
        <v>1</v>
      </c>
      <c r="F384" t="s">
        <v>37</v>
      </c>
      <c r="G384" t="s">
        <v>21</v>
      </c>
      <c r="H384" s="2" t="s">
        <v>967</v>
      </c>
      <c r="I384" t="s">
        <v>196</v>
      </c>
      <c r="J384" t="s">
        <v>75</v>
      </c>
      <c r="K384" t="s">
        <v>81</v>
      </c>
      <c r="L384" t="s">
        <v>196</v>
      </c>
      <c r="N384">
        <v>0</v>
      </c>
      <c r="P384" t="s">
        <v>82</v>
      </c>
      <c r="R384" t="s">
        <v>77</v>
      </c>
    </row>
    <row r="385" spans="1:18" ht="15" customHeight="1">
      <c r="A385" t="s">
        <v>968</v>
      </c>
      <c r="B385" s="1">
        <v>46071.602418981478</v>
      </c>
      <c r="C385" t="s">
        <v>61</v>
      </c>
      <c r="D385" t="s">
        <v>9</v>
      </c>
      <c r="E385" t="s">
        <v>1</v>
      </c>
      <c r="F385" t="s">
        <v>35</v>
      </c>
      <c r="G385" t="s">
        <v>11</v>
      </c>
      <c r="H385" s="2" t="s">
        <v>969</v>
      </c>
      <c r="I385" t="s">
        <v>485</v>
      </c>
      <c r="J385" t="s">
        <v>75</v>
      </c>
      <c r="K385" t="s">
        <v>81</v>
      </c>
      <c r="L385" t="s">
        <v>485</v>
      </c>
      <c r="N385">
        <v>0</v>
      </c>
      <c r="O385" s="1">
        <v>46071.718194444446</v>
      </c>
      <c r="P385" t="s">
        <v>82</v>
      </c>
      <c r="Q385" t="s">
        <v>69</v>
      </c>
      <c r="R385" t="s">
        <v>151</v>
      </c>
    </row>
    <row r="386" spans="1:18" ht="15" customHeight="1">
      <c r="A386" t="s">
        <v>970</v>
      </c>
      <c r="B386" s="1">
        <v>46071.641157407408</v>
      </c>
      <c r="C386" t="s">
        <v>61</v>
      </c>
      <c r="D386" t="s">
        <v>9</v>
      </c>
      <c r="E386" t="s">
        <v>63</v>
      </c>
      <c r="H386" t="s">
        <v>171</v>
      </c>
      <c r="I386" t="s">
        <v>266</v>
      </c>
      <c r="J386" t="s">
        <v>75</v>
      </c>
      <c r="K386" t="s">
        <v>76</v>
      </c>
      <c r="L386" t="s">
        <v>266</v>
      </c>
      <c r="N386">
        <v>1</v>
      </c>
      <c r="O386" s="1">
        <v>46071.641932870371</v>
      </c>
      <c r="Q386" t="s">
        <v>69</v>
      </c>
      <c r="R386" t="s">
        <v>77</v>
      </c>
    </row>
    <row r="387" spans="1:18" ht="15" customHeight="1">
      <c r="A387" t="s">
        <v>971</v>
      </c>
      <c r="B387" s="1">
        <v>46071.691805555558</v>
      </c>
      <c r="C387" t="s">
        <v>184</v>
      </c>
      <c r="D387" t="s">
        <v>9</v>
      </c>
      <c r="E387" t="s">
        <v>1</v>
      </c>
      <c r="F387" t="s">
        <v>28</v>
      </c>
      <c r="G387" t="s">
        <v>10</v>
      </c>
      <c r="H387" s="2" t="s">
        <v>972</v>
      </c>
      <c r="I387" t="s">
        <v>118</v>
      </c>
      <c r="J387" t="s">
        <v>75</v>
      </c>
      <c r="K387" t="s">
        <v>76</v>
      </c>
      <c r="L387" t="s">
        <v>118</v>
      </c>
      <c r="N387">
        <v>0</v>
      </c>
      <c r="P387" t="s">
        <v>97</v>
      </c>
      <c r="R387" t="s">
        <v>118</v>
      </c>
    </row>
    <row r="388" spans="1:18" ht="15" customHeight="1">
      <c r="A388" t="s">
        <v>973</v>
      </c>
      <c r="B388" s="1">
        <v>46071.723946759259</v>
      </c>
      <c r="C388" t="s">
        <v>184</v>
      </c>
      <c r="D388" t="s">
        <v>9</v>
      </c>
      <c r="E388" t="s">
        <v>1</v>
      </c>
      <c r="F388" t="s">
        <v>39</v>
      </c>
      <c r="G388" t="s">
        <v>19</v>
      </c>
      <c r="H388" s="2" t="s">
        <v>974</v>
      </c>
      <c r="I388" t="s">
        <v>118</v>
      </c>
      <c r="J388" t="s">
        <v>75</v>
      </c>
      <c r="K388" t="s">
        <v>76</v>
      </c>
      <c r="L388" t="s">
        <v>118</v>
      </c>
      <c r="N388">
        <v>0</v>
      </c>
      <c r="P388" t="s">
        <v>97</v>
      </c>
      <c r="R388" t="s">
        <v>118</v>
      </c>
    </row>
    <row r="389" spans="1:18" ht="15" customHeight="1">
      <c r="A389" t="s">
        <v>975</v>
      </c>
      <c r="B389" s="1">
        <v>46071.725208333337</v>
      </c>
      <c r="C389" t="s">
        <v>165</v>
      </c>
      <c r="D389" t="s">
        <v>9</v>
      </c>
      <c r="E389" t="s">
        <v>1</v>
      </c>
      <c r="F389" t="s">
        <v>37</v>
      </c>
      <c r="G389" t="s">
        <v>21</v>
      </c>
      <c r="H389" s="2" t="s">
        <v>976</v>
      </c>
      <c r="I389" t="s">
        <v>229</v>
      </c>
      <c r="J389" t="s">
        <v>75</v>
      </c>
      <c r="K389" t="s">
        <v>81</v>
      </c>
      <c r="L389" t="s">
        <v>229</v>
      </c>
      <c r="N389">
        <v>0</v>
      </c>
      <c r="P389" t="s">
        <v>82</v>
      </c>
      <c r="R389" t="s">
        <v>77</v>
      </c>
    </row>
    <row r="390" spans="1:18" ht="15" customHeight="1">
      <c r="A390" t="s">
        <v>977</v>
      </c>
      <c r="B390" s="1">
        <v>46072.507118055553</v>
      </c>
      <c r="C390" t="s">
        <v>61</v>
      </c>
      <c r="D390" t="s">
        <v>9</v>
      </c>
      <c r="E390" t="s">
        <v>1</v>
      </c>
      <c r="F390" t="s">
        <v>26</v>
      </c>
      <c r="G390" t="s">
        <v>14</v>
      </c>
      <c r="H390" s="2" t="s">
        <v>978</v>
      </c>
      <c r="I390" t="s">
        <v>451</v>
      </c>
      <c r="J390" t="s">
        <v>75</v>
      </c>
      <c r="K390" t="s">
        <v>76</v>
      </c>
      <c r="L390" t="s">
        <v>451</v>
      </c>
      <c r="N390">
        <v>0</v>
      </c>
      <c r="O390" s="1">
        <v>46073.332175925927</v>
      </c>
      <c r="P390" t="s">
        <v>97</v>
      </c>
      <c r="Q390" t="s">
        <v>69</v>
      </c>
      <c r="R390" t="s">
        <v>118</v>
      </c>
    </row>
    <row r="391" spans="1:18" ht="15" customHeight="1">
      <c r="A391" t="s">
        <v>979</v>
      </c>
      <c r="B391" s="1">
        <v>46072.517476851855</v>
      </c>
      <c r="C391" t="s">
        <v>61</v>
      </c>
      <c r="D391" t="s">
        <v>9</v>
      </c>
      <c r="E391" t="s">
        <v>1</v>
      </c>
      <c r="F391" t="s">
        <v>31</v>
      </c>
      <c r="G391" t="s">
        <v>11</v>
      </c>
      <c r="H391" s="2" t="s">
        <v>980</v>
      </c>
      <c r="I391" t="s">
        <v>981</v>
      </c>
      <c r="J391" t="s">
        <v>75</v>
      </c>
      <c r="K391" t="s">
        <v>81</v>
      </c>
      <c r="L391" t="s">
        <v>981</v>
      </c>
      <c r="N391">
        <v>0</v>
      </c>
      <c r="O391" s="1">
        <v>46072.595914351848</v>
      </c>
      <c r="P391" t="s">
        <v>82</v>
      </c>
      <c r="Q391" t="s">
        <v>69</v>
      </c>
      <c r="R391" t="s">
        <v>77</v>
      </c>
    </row>
    <row r="392" spans="1:18" ht="15" customHeight="1">
      <c r="A392" t="s">
        <v>982</v>
      </c>
      <c r="B392" s="1">
        <v>46072.632719907408</v>
      </c>
      <c r="C392" t="s">
        <v>61</v>
      </c>
      <c r="D392" t="s">
        <v>9</v>
      </c>
      <c r="E392" t="s">
        <v>63</v>
      </c>
      <c r="H392" s="2" t="s">
        <v>983</v>
      </c>
      <c r="I392" t="s">
        <v>124</v>
      </c>
      <c r="J392" t="s">
        <v>75</v>
      </c>
      <c r="K392" t="s">
        <v>76</v>
      </c>
      <c r="L392" t="s">
        <v>124</v>
      </c>
      <c r="N392">
        <v>1</v>
      </c>
      <c r="O392" s="1">
        <v>46072.638206018521</v>
      </c>
      <c r="Q392" t="s">
        <v>141</v>
      </c>
      <c r="R392" t="s">
        <v>77</v>
      </c>
    </row>
    <row r="393" spans="1:18" ht="15" customHeight="1">
      <c r="A393" t="s">
        <v>984</v>
      </c>
      <c r="B393" s="1">
        <v>46072.642546296294</v>
      </c>
      <c r="C393" t="s">
        <v>453</v>
      </c>
      <c r="D393" t="s">
        <v>9</v>
      </c>
      <c r="E393" t="s">
        <v>1</v>
      </c>
      <c r="F393" t="s">
        <v>26</v>
      </c>
      <c r="G393" t="s">
        <v>19</v>
      </c>
      <c r="H393" s="2" t="s">
        <v>985</v>
      </c>
      <c r="I393" t="s">
        <v>302</v>
      </c>
      <c r="J393" t="s">
        <v>75</v>
      </c>
      <c r="K393" t="s">
        <v>76</v>
      </c>
      <c r="L393" t="s">
        <v>302</v>
      </c>
      <c r="N393">
        <v>0</v>
      </c>
      <c r="P393" t="s">
        <v>97</v>
      </c>
      <c r="Q393" t="s">
        <v>69</v>
      </c>
      <c r="R393" t="s">
        <v>118</v>
      </c>
    </row>
    <row r="394" spans="1:18" ht="15" customHeight="1">
      <c r="A394" t="s">
        <v>986</v>
      </c>
      <c r="B394" s="1">
        <v>46072.660208333335</v>
      </c>
      <c r="C394" t="s">
        <v>61</v>
      </c>
      <c r="D394" t="s">
        <v>9</v>
      </c>
      <c r="E394" t="s">
        <v>63</v>
      </c>
      <c r="H394" s="2" t="s">
        <v>813</v>
      </c>
      <c r="I394" t="s">
        <v>189</v>
      </c>
      <c r="J394" t="s">
        <v>75</v>
      </c>
      <c r="K394" t="s">
        <v>76</v>
      </c>
      <c r="L394" t="s">
        <v>189</v>
      </c>
      <c r="N394">
        <v>1</v>
      </c>
      <c r="O394" s="1">
        <v>46072.661759259259</v>
      </c>
      <c r="Q394" t="s">
        <v>141</v>
      </c>
      <c r="R394" t="s">
        <v>155</v>
      </c>
    </row>
    <row r="395" spans="1:18" ht="15" customHeight="1">
      <c r="A395" t="s">
        <v>987</v>
      </c>
      <c r="B395" s="1">
        <v>46072.688020833331</v>
      </c>
      <c r="C395" t="s">
        <v>165</v>
      </c>
      <c r="D395" t="s">
        <v>9</v>
      </c>
      <c r="E395" t="s">
        <v>1</v>
      </c>
      <c r="F395" t="s">
        <v>31</v>
      </c>
      <c r="G395" t="s">
        <v>11</v>
      </c>
      <c r="H395" s="2" t="s">
        <v>988</v>
      </c>
      <c r="I395" t="s">
        <v>934</v>
      </c>
      <c r="J395" t="s">
        <v>75</v>
      </c>
      <c r="K395" t="s">
        <v>76</v>
      </c>
      <c r="L395" t="s">
        <v>934</v>
      </c>
      <c r="N395">
        <v>0</v>
      </c>
      <c r="P395" t="s">
        <v>82</v>
      </c>
      <c r="R395" t="s">
        <v>77</v>
      </c>
    </row>
    <row r="396" spans="1:18" ht="15" customHeight="1">
      <c r="A396" t="s">
        <v>989</v>
      </c>
      <c r="B396" s="1">
        <v>46072.773159722223</v>
      </c>
      <c r="C396" t="s">
        <v>165</v>
      </c>
      <c r="D396" t="s">
        <v>9</v>
      </c>
      <c r="E396" t="s">
        <v>1</v>
      </c>
      <c r="F396" t="s">
        <v>35</v>
      </c>
      <c r="G396" t="s">
        <v>11</v>
      </c>
      <c r="H396" t="s">
        <v>990</v>
      </c>
      <c r="I396" t="s">
        <v>991</v>
      </c>
      <c r="J396" t="s">
        <v>75</v>
      </c>
      <c r="K396" t="s">
        <v>81</v>
      </c>
      <c r="L396" t="s">
        <v>991</v>
      </c>
      <c r="N396">
        <v>0</v>
      </c>
      <c r="P396" t="s">
        <v>82</v>
      </c>
      <c r="R396" t="s">
        <v>87</v>
      </c>
    </row>
    <row r="397" spans="1:18" ht="15" customHeight="1">
      <c r="A397" t="s">
        <v>992</v>
      </c>
      <c r="B397" s="1">
        <v>46073.335428240738</v>
      </c>
      <c r="C397" t="s">
        <v>61</v>
      </c>
      <c r="D397" t="s">
        <v>9</v>
      </c>
      <c r="E397" t="s">
        <v>63</v>
      </c>
      <c r="H397" t="s">
        <v>993</v>
      </c>
      <c r="I397" t="s">
        <v>353</v>
      </c>
      <c r="J397" t="s">
        <v>75</v>
      </c>
      <c r="K397" t="s">
        <v>76</v>
      </c>
      <c r="L397" t="s">
        <v>353</v>
      </c>
      <c r="N397">
        <v>1</v>
      </c>
      <c r="O397" s="1">
        <v>46073.34171296296</v>
      </c>
      <c r="Q397" t="s">
        <v>69</v>
      </c>
      <c r="R397" t="s">
        <v>354</v>
      </c>
    </row>
    <row r="398" spans="1:18" ht="15" customHeight="1">
      <c r="A398" t="s">
        <v>994</v>
      </c>
      <c r="B398" s="1">
        <v>46073.412326388891</v>
      </c>
      <c r="C398" t="s">
        <v>61</v>
      </c>
      <c r="D398" t="s">
        <v>9</v>
      </c>
      <c r="E398" t="s">
        <v>63</v>
      </c>
      <c r="H398" t="s">
        <v>171</v>
      </c>
      <c r="I398" t="s">
        <v>995</v>
      </c>
      <c r="J398" t="s">
        <v>75</v>
      </c>
      <c r="K398" t="s">
        <v>76</v>
      </c>
      <c r="L398" t="s">
        <v>995</v>
      </c>
      <c r="N398">
        <v>1</v>
      </c>
      <c r="O398" s="1">
        <v>46073.413414351853</v>
      </c>
      <c r="Q398" t="s">
        <v>141</v>
      </c>
      <c r="R398" t="s">
        <v>77</v>
      </c>
    </row>
    <row r="399" spans="1:18" ht="15" customHeight="1">
      <c r="A399" t="s">
        <v>996</v>
      </c>
      <c r="B399" s="1">
        <v>46073.49422453704</v>
      </c>
      <c r="C399" t="s">
        <v>61</v>
      </c>
      <c r="D399" t="s">
        <v>9</v>
      </c>
      <c r="E399" t="s">
        <v>63</v>
      </c>
      <c r="H399" t="s">
        <v>139</v>
      </c>
      <c r="I399" t="s">
        <v>995</v>
      </c>
      <c r="J399" t="s">
        <v>75</v>
      </c>
      <c r="K399" t="s">
        <v>76</v>
      </c>
      <c r="L399" t="s">
        <v>995</v>
      </c>
      <c r="N399">
        <v>1</v>
      </c>
      <c r="O399" s="1">
        <v>46073.495138888888</v>
      </c>
      <c r="Q399" t="s">
        <v>141</v>
      </c>
      <c r="R399" t="s">
        <v>87</v>
      </c>
    </row>
    <row r="400" spans="1:18" ht="15" customHeight="1">
      <c r="A400" t="s">
        <v>997</v>
      </c>
      <c r="B400" s="1">
        <v>46073.500289351854</v>
      </c>
      <c r="C400" t="s">
        <v>184</v>
      </c>
      <c r="D400" t="s">
        <v>9</v>
      </c>
      <c r="E400" t="s">
        <v>1</v>
      </c>
      <c r="F400" t="s">
        <v>37</v>
      </c>
      <c r="G400" t="s">
        <v>19</v>
      </c>
      <c r="H400" s="2" t="s">
        <v>998</v>
      </c>
      <c r="I400" t="s">
        <v>118</v>
      </c>
      <c r="J400" t="s">
        <v>75</v>
      </c>
      <c r="K400" t="s">
        <v>76</v>
      </c>
      <c r="L400" t="s">
        <v>118</v>
      </c>
      <c r="N400">
        <v>0</v>
      </c>
      <c r="P400" t="s">
        <v>97</v>
      </c>
      <c r="R400" t="s">
        <v>118</v>
      </c>
    </row>
    <row r="401" spans="1:18" ht="15" customHeight="1">
      <c r="A401" t="s">
        <v>999</v>
      </c>
      <c r="B401" s="1">
        <v>46073.500393518516</v>
      </c>
      <c r="C401" t="s">
        <v>61</v>
      </c>
      <c r="D401" t="s">
        <v>9</v>
      </c>
      <c r="E401" t="s">
        <v>1</v>
      </c>
      <c r="F401" t="s">
        <v>37</v>
      </c>
      <c r="G401" t="s">
        <v>11</v>
      </c>
      <c r="H401" s="2" t="s">
        <v>1000</v>
      </c>
      <c r="I401" t="s">
        <v>703</v>
      </c>
      <c r="J401" t="s">
        <v>75</v>
      </c>
      <c r="K401" t="s">
        <v>81</v>
      </c>
      <c r="L401" t="s">
        <v>703</v>
      </c>
      <c r="N401">
        <v>0</v>
      </c>
      <c r="O401" s="1">
        <v>46073.580208333333</v>
      </c>
      <c r="P401" t="s">
        <v>82</v>
      </c>
      <c r="Q401" t="s">
        <v>69</v>
      </c>
      <c r="R401" t="s">
        <v>125</v>
      </c>
    </row>
    <row r="402" spans="1:18" ht="15" customHeight="1">
      <c r="A402" t="s">
        <v>1001</v>
      </c>
      <c r="B402" s="1">
        <v>46073.541192129633</v>
      </c>
      <c r="C402" t="s">
        <v>165</v>
      </c>
      <c r="D402" t="s">
        <v>327</v>
      </c>
      <c r="E402" t="s">
        <v>63</v>
      </c>
      <c r="H402" t="s">
        <v>1002</v>
      </c>
      <c r="I402" t="s">
        <v>403</v>
      </c>
      <c r="J402" t="s">
        <v>66</v>
      </c>
      <c r="K402" t="s">
        <v>67</v>
      </c>
      <c r="L402" t="s">
        <v>403</v>
      </c>
      <c r="N402">
        <v>0</v>
      </c>
      <c r="P402" t="s">
        <v>330</v>
      </c>
      <c r="R402" t="s">
        <v>403</v>
      </c>
    </row>
    <row r="403" spans="1:18" ht="15" customHeight="1">
      <c r="A403" t="s">
        <v>1003</v>
      </c>
      <c r="B403" s="1">
        <v>46073.631712962961</v>
      </c>
      <c r="C403" t="s">
        <v>61</v>
      </c>
      <c r="D403" t="s">
        <v>9</v>
      </c>
      <c r="E403" t="s">
        <v>63</v>
      </c>
      <c r="H403" s="2" t="s">
        <v>1004</v>
      </c>
      <c r="I403" t="s">
        <v>226</v>
      </c>
      <c r="J403" t="s">
        <v>75</v>
      </c>
      <c r="K403" t="s">
        <v>76</v>
      </c>
      <c r="L403" t="s">
        <v>226</v>
      </c>
      <c r="N403">
        <v>1</v>
      </c>
      <c r="O403" s="1">
        <v>46073.6328125</v>
      </c>
      <c r="Q403" t="s">
        <v>69</v>
      </c>
      <c r="R403" t="s">
        <v>589</v>
      </c>
    </row>
    <row r="404" spans="1:18" ht="15" customHeight="1">
      <c r="A404" t="s">
        <v>1005</v>
      </c>
      <c r="B404" s="1">
        <v>46073.676354166666</v>
      </c>
      <c r="C404" t="s">
        <v>165</v>
      </c>
      <c r="D404" t="s">
        <v>9</v>
      </c>
      <c r="E404" t="s">
        <v>1</v>
      </c>
      <c r="F404" t="s">
        <v>39</v>
      </c>
      <c r="G404" t="s">
        <v>14</v>
      </c>
      <c r="H404" s="2" t="s">
        <v>1006</v>
      </c>
      <c r="I404" t="s">
        <v>567</v>
      </c>
      <c r="J404" t="s">
        <v>75</v>
      </c>
      <c r="K404" t="s">
        <v>76</v>
      </c>
      <c r="L404" t="s">
        <v>567</v>
      </c>
      <c r="N404">
        <v>0</v>
      </c>
      <c r="P404" t="s">
        <v>82</v>
      </c>
      <c r="R404" t="s">
        <v>125</v>
      </c>
    </row>
    <row r="405" spans="1:18" ht="15" customHeight="1">
      <c r="A405" t="s">
        <v>1007</v>
      </c>
      <c r="B405" s="1">
        <v>46073.684849537036</v>
      </c>
      <c r="C405" t="s">
        <v>61</v>
      </c>
      <c r="D405" t="s">
        <v>9</v>
      </c>
      <c r="E405" t="s">
        <v>1</v>
      </c>
      <c r="F405" t="s">
        <v>28</v>
      </c>
      <c r="G405" t="s">
        <v>11</v>
      </c>
      <c r="H405" s="2" t="s">
        <v>1008</v>
      </c>
      <c r="I405" t="s">
        <v>150</v>
      </c>
      <c r="J405" t="s">
        <v>75</v>
      </c>
      <c r="K405" t="s">
        <v>81</v>
      </c>
      <c r="L405" t="s">
        <v>150</v>
      </c>
      <c r="N405">
        <v>0</v>
      </c>
      <c r="O405" s="1">
        <v>46073.697685185187</v>
      </c>
      <c r="P405" t="s">
        <v>82</v>
      </c>
      <c r="Q405" t="s">
        <v>69</v>
      </c>
      <c r="R405" t="s">
        <v>125</v>
      </c>
    </row>
    <row r="406" spans="1:18" ht="15" customHeight="1">
      <c r="A406" t="s">
        <v>1009</v>
      </c>
      <c r="B406" s="1">
        <v>46073.779097222221</v>
      </c>
      <c r="C406" t="s">
        <v>1010</v>
      </c>
      <c r="D406" t="s">
        <v>9</v>
      </c>
      <c r="E406" t="s">
        <v>1</v>
      </c>
      <c r="F406" t="s">
        <v>28</v>
      </c>
      <c r="G406" t="s">
        <v>17</v>
      </c>
      <c r="H406" s="2" t="s">
        <v>1011</v>
      </c>
      <c r="I406" t="s">
        <v>427</v>
      </c>
      <c r="J406" t="s">
        <v>75</v>
      </c>
      <c r="K406" t="s">
        <v>81</v>
      </c>
      <c r="L406" t="s">
        <v>427</v>
      </c>
      <c r="M406" t="s">
        <v>926</v>
      </c>
      <c r="N406">
        <v>0</v>
      </c>
      <c r="P406" t="s">
        <v>82</v>
      </c>
      <c r="R406" t="s">
        <v>125</v>
      </c>
    </row>
    <row r="407" spans="1:18" ht="15" customHeight="1">
      <c r="A407" t="s">
        <v>1012</v>
      </c>
      <c r="B407" s="1">
        <v>46074.271261574075</v>
      </c>
      <c r="C407" t="s">
        <v>61</v>
      </c>
      <c r="D407" t="s">
        <v>62</v>
      </c>
      <c r="E407" t="s">
        <v>63</v>
      </c>
      <c r="H407" s="2" t="s">
        <v>1013</v>
      </c>
      <c r="I407" t="s">
        <v>403</v>
      </c>
      <c r="J407" t="s">
        <v>66</v>
      </c>
      <c r="K407" t="s">
        <v>76</v>
      </c>
      <c r="L407" t="s">
        <v>403</v>
      </c>
      <c r="N407">
        <v>0</v>
      </c>
      <c r="O407" s="1">
        <v>46076.622094907405</v>
      </c>
      <c r="P407" t="s">
        <v>97</v>
      </c>
      <c r="Q407" t="s">
        <v>69</v>
      </c>
      <c r="R407" t="s">
        <v>403</v>
      </c>
    </row>
    <row r="408" spans="1:18" ht="15" customHeight="1">
      <c r="A408" t="s">
        <v>1014</v>
      </c>
      <c r="B408" s="1">
        <v>46076.353402777779</v>
      </c>
      <c r="C408" t="s">
        <v>61</v>
      </c>
      <c r="D408" t="s">
        <v>9</v>
      </c>
      <c r="E408" t="s">
        <v>63</v>
      </c>
      <c r="H408" s="2" t="s">
        <v>1015</v>
      </c>
      <c r="I408" t="s">
        <v>543</v>
      </c>
      <c r="J408" t="s">
        <v>75</v>
      </c>
      <c r="K408" t="s">
        <v>76</v>
      </c>
      <c r="L408" t="s">
        <v>543</v>
      </c>
      <c r="N408">
        <v>0</v>
      </c>
      <c r="O408" s="1">
        <v>46076.384456018517</v>
      </c>
      <c r="P408" t="s">
        <v>91</v>
      </c>
      <c r="Q408" t="s">
        <v>147</v>
      </c>
      <c r="R408" t="s">
        <v>77</v>
      </c>
    </row>
    <row r="409" spans="1:18" ht="15" customHeight="1">
      <c r="A409" t="s">
        <v>1016</v>
      </c>
      <c r="B409" s="1">
        <v>46076.402777777781</v>
      </c>
      <c r="C409" t="s">
        <v>61</v>
      </c>
      <c r="D409" t="s">
        <v>9</v>
      </c>
      <c r="E409" t="s">
        <v>63</v>
      </c>
      <c r="H409" s="2" t="s">
        <v>1017</v>
      </c>
      <c r="I409" t="s">
        <v>543</v>
      </c>
      <c r="J409" t="s">
        <v>75</v>
      </c>
      <c r="K409" t="s">
        <v>76</v>
      </c>
      <c r="L409" t="s">
        <v>543</v>
      </c>
      <c r="N409">
        <v>1</v>
      </c>
      <c r="O409" s="1">
        <v>46076.405393518522</v>
      </c>
      <c r="Q409" t="s">
        <v>147</v>
      </c>
      <c r="R409" t="s">
        <v>589</v>
      </c>
    </row>
    <row r="410" spans="1:18" ht="15" customHeight="1">
      <c r="A410" t="s">
        <v>1018</v>
      </c>
      <c r="B410" s="1">
        <v>46076.425833333335</v>
      </c>
      <c r="C410" t="s">
        <v>61</v>
      </c>
      <c r="D410" t="s">
        <v>9</v>
      </c>
      <c r="E410" t="s">
        <v>63</v>
      </c>
      <c r="H410" s="2" t="s">
        <v>1019</v>
      </c>
      <c r="I410" t="s">
        <v>802</v>
      </c>
      <c r="J410" t="s">
        <v>75</v>
      </c>
      <c r="K410" t="s">
        <v>76</v>
      </c>
      <c r="L410" t="s">
        <v>802</v>
      </c>
      <c r="N410">
        <v>1</v>
      </c>
      <c r="O410" s="1">
        <v>46076.434166666666</v>
      </c>
      <c r="Q410" t="s">
        <v>69</v>
      </c>
      <c r="R410" t="s">
        <v>589</v>
      </c>
    </row>
    <row r="411" spans="1:18" ht="15" customHeight="1">
      <c r="A411" t="s">
        <v>1020</v>
      </c>
      <c r="B411" s="1">
        <v>46076.433877314812</v>
      </c>
      <c r="C411" t="s">
        <v>61</v>
      </c>
      <c r="D411" t="s">
        <v>9</v>
      </c>
      <c r="E411" t="s">
        <v>63</v>
      </c>
      <c r="H411" s="2" t="s">
        <v>813</v>
      </c>
      <c r="I411" t="s">
        <v>140</v>
      </c>
      <c r="J411" t="s">
        <v>75</v>
      </c>
      <c r="K411" t="s">
        <v>76</v>
      </c>
      <c r="L411" t="s">
        <v>140</v>
      </c>
      <c r="N411">
        <v>1</v>
      </c>
      <c r="O411" s="1">
        <v>46076.43577546296</v>
      </c>
      <c r="Q411" t="s">
        <v>141</v>
      </c>
      <c r="R411" t="s">
        <v>155</v>
      </c>
    </row>
    <row r="412" spans="1:18" ht="15" customHeight="1">
      <c r="A412" t="s">
        <v>1021</v>
      </c>
      <c r="B412" s="1">
        <v>46076.435324074075</v>
      </c>
      <c r="C412" t="s">
        <v>61</v>
      </c>
      <c r="D412" t="s">
        <v>9</v>
      </c>
      <c r="E412" t="s">
        <v>63</v>
      </c>
      <c r="H412" s="2" t="s">
        <v>1022</v>
      </c>
      <c r="I412" t="s">
        <v>589</v>
      </c>
      <c r="J412" t="s">
        <v>75</v>
      </c>
      <c r="K412" t="s">
        <v>76</v>
      </c>
      <c r="L412" t="s">
        <v>589</v>
      </c>
      <c r="N412">
        <v>0</v>
      </c>
      <c r="O412" s="1">
        <v>46076.465729166666</v>
      </c>
      <c r="P412" t="s">
        <v>91</v>
      </c>
      <c r="Q412" t="s">
        <v>263</v>
      </c>
      <c r="R412" t="s">
        <v>589</v>
      </c>
    </row>
    <row r="413" spans="1:18" ht="15" customHeight="1">
      <c r="A413" t="s">
        <v>1023</v>
      </c>
      <c r="B413" s="1">
        <v>46076.442962962959</v>
      </c>
      <c r="C413" t="s">
        <v>61</v>
      </c>
      <c r="D413" t="s">
        <v>9</v>
      </c>
      <c r="E413" t="s">
        <v>1</v>
      </c>
      <c r="F413" t="s">
        <v>31</v>
      </c>
      <c r="G413" t="s">
        <v>11</v>
      </c>
      <c r="H413" s="2" t="s">
        <v>1024</v>
      </c>
      <c r="I413" t="s">
        <v>834</v>
      </c>
      <c r="J413" t="s">
        <v>75</v>
      </c>
      <c r="K413" t="s">
        <v>76</v>
      </c>
      <c r="L413" t="s">
        <v>935</v>
      </c>
      <c r="N413">
        <v>0</v>
      </c>
      <c r="O413" s="1">
        <v>46076.699340277781</v>
      </c>
      <c r="P413" t="s">
        <v>82</v>
      </c>
      <c r="Q413" t="s">
        <v>69</v>
      </c>
      <c r="R413" t="s">
        <v>77</v>
      </c>
    </row>
    <row r="414" spans="1:18" ht="15" customHeight="1">
      <c r="A414" t="s">
        <v>1025</v>
      </c>
      <c r="B414" s="1">
        <v>46076.591238425928</v>
      </c>
      <c r="C414" t="s">
        <v>61</v>
      </c>
      <c r="D414" t="s">
        <v>9</v>
      </c>
      <c r="E414" t="s">
        <v>63</v>
      </c>
      <c r="H414" s="2" t="s">
        <v>1026</v>
      </c>
      <c r="I414" t="s">
        <v>1027</v>
      </c>
      <c r="J414" t="s">
        <v>75</v>
      </c>
      <c r="K414" t="s">
        <v>76</v>
      </c>
      <c r="L414" t="s">
        <v>1027</v>
      </c>
      <c r="N414">
        <v>1</v>
      </c>
      <c r="O414" s="1">
        <v>46076.596655092595</v>
      </c>
      <c r="Q414" t="s">
        <v>69</v>
      </c>
      <c r="R414" t="s">
        <v>589</v>
      </c>
    </row>
    <row r="415" spans="1:18" ht="15" customHeight="1">
      <c r="A415" t="s">
        <v>1028</v>
      </c>
      <c r="B415" s="1">
        <v>46076.612083333333</v>
      </c>
      <c r="C415" t="s">
        <v>61</v>
      </c>
      <c r="D415" t="s">
        <v>9</v>
      </c>
      <c r="E415" t="s">
        <v>63</v>
      </c>
      <c r="H415" s="2" t="s">
        <v>1029</v>
      </c>
      <c r="I415" t="s">
        <v>1027</v>
      </c>
      <c r="J415" t="s">
        <v>75</v>
      </c>
      <c r="K415" t="s">
        <v>76</v>
      </c>
      <c r="L415" t="s">
        <v>1027</v>
      </c>
      <c r="N415">
        <v>1</v>
      </c>
      <c r="O415" s="1">
        <v>46076.617719907408</v>
      </c>
      <c r="Q415" t="s">
        <v>69</v>
      </c>
      <c r="R415" t="s">
        <v>589</v>
      </c>
    </row>
    <row r="416" spans="1:18" ht="15" customHeight="1">
      <c r="A416" t="s">
        <v>1030</v>
      </c>
      <c r="B416" s="1">
        <v>46076.683287037034</v>
      </c>
      <c r="C416" t="s">
        <v>184</v>
      </c>
      <c r="D416" t="s">
        <v>9</v>
      </c>
      <c r="E416" t="s">
        <v>1</v>
      </c>
      <c r="F416" t="s">
        <v>27</v>
      </c>
      <c r="G416" t="s">
        <v>19</v>
      </c>
      <c r="H416" s="2" t="s">
        <v>1031</v>
      </c>
      <c r="I416" t="s">
        <v>118</v>
      </c>
      <c r="J416" t="s">
        <v>75</v>
      </c>
      <c r="K416" t="s">
        <v>76</v>
      </c>
      <c r="L416" t="s">
        <v>118</v>
      </c>
      <c r="N416">
        <v>0</v>
      </c>
      <c r="P416" t="s">
        <v>97</v>
      </c>
      <c r="R416" t="s">
        <v>118</v>
      </c>
    </row>
    <row r="417" spans="1:18" ht="15" customHeight="1">
      <c r="A417" t="s">
        <v>1032</v>
      </c>
      <c r="B417" s="1">
        <v>46076.685277777775</v>
      </c>
      <c r="C417" t="s">
        <v>61</v>
      </c>
      <c r="D417" t="s">
        <v>9</v>
      </c>
      <c r="E417" t="s">
        <v>1</v>
      </c>
      <c r="F417" t="s">
        <v>37</v>
      </c>
      <c r="G417" t="s">
        <v>21</v>
      </c>
      <c r="H417" s="2" t="s">
        <v>1033</v>
      </c>
      <c r="I417" t="s">
        <v>202</v>
      </c>
      <c r="J417" t="s">
        <v>75</v>
      </c>
      <c r="K417" t="s">
        <v>81</v>
      </c>
      <c r="L417" t="s">
        <v>202</v>
      </c>
      <c r="N417">
        <v>0</v>
      </c>
      <c r="O417" s="1">
        <v>46078.372430555559</v>
      </c>
      <c r="P417" t="s">
        <v>82</v>
      </c>
      <c r="Q417" t="s">
        <v>211</v>
      </c>
      <c r="R417" t="s">
        <v>125</v>
      </c>
    </row>
    <row r="418" spans="1:18" ht="15" customHeight="1">
      <c r="A418" t="s">
        <v>1034</v>
      </c>
      <c r="B418" s="1">
        <v>46076.696192129632</v>
      </c>
      <c r="C418" t="s">
        <v>61</v>
      </c>
      <c r="D418" t="s">
        <v>9</v>
      </c>
      <c r="E418" t="s">
        <v>1</v>
      </c>
      <c r="F418" t="s">
        <v>27</v>
      </c>
      <c r="G418" t="s">
        <v>14</v>
      </c>
      <c r="H418" s="2" t="s">
        <v>1035</v>
      </c>
      <c r="I418" t="s">
        <v>175</v>
      </c>
      <c r="J418" t="s">
        <v>75</v>
      </c>
      <c r="K418" t="s">
        <v>81</v>
      </c>
      <c r="L418" t="s">
        <v>175</v>
      </c>
      <c r="N418">
        <v>0</v>
      </c>
      <c r="O418" s="1">
        <v>46085.313171296293</v>
      </c>
      <c r="P418" t="s">
        <v>97</v>
      </c>
      <c r="Q418" t="s">
        <v>117</v>
      </c>
      <c r="R418" t="s">
        <v>125</v>
      </c>
    </row>
    <row r="419" spans="1:18" ht="15" customHeight="1">
      <c r="A419" t="s">
        <v>1036</v>
      </c>
      <c r="B419" s="1">
        <v>46077.274004629631</v>
      </c>
      <c r="C419" t="s">
        <v>61</v>
      </c>
      <c r="D419" t="s">
        <v>62</v>
      </c>
      <c r="E419" t="s">
        <v>63</v>
      </c>
      <c r="H419" s="2" t="s">
        <v>1037</v>
      </c>
      <c r="I419" t="s">
        <v>329</v>
      </c>
      <c r="J419" t="s">
        <v>66</v>
      </c>
      <c r="K419" t="s">
        <v>76</v>
      </c>
      <c r="L419" t="s">
        <v>329</v>
      </c>
      <c r="N419">
        <v>0</v>
      </c>
      <c r="O419" s="1">
        <v>46077.601689814815</v>
      </c>
      <c r="P419" t="s">
        <v>97</v>
      </c>
      <c r="Q419" t="s">
        <v>69</v>
      </c>
      <c r="R419" t="s">
        <v>329</v>
      </c>
    </row>
    <row r="420" spans="1:18" ht="15" customHeight="1">
      <c r="A420" t="s">
        <v>1038</v>
      </c>
      <c r="B420" s="1">
        <v>46077.478125000001</v>
      </c>
      <c r="C420" t="s">
        <v>61</v>
      </c>
      <c r="D420" t="s">
        <v>9</v>
      </c>
      <c r="E420" t="s">
        <v>1</v>
      </c>
      <c r="F420" t="s">
        <v>37</v>
      </c>
      <c r="G420" t="s">
        <v>11</v>
      </c>
      <c r="H420" s="2" t="s">
        <v>1039</v>
      </c>
      <c r="I420" t="s">
        <v>101</v>
      </c>
      <c r="J420" t="s">
        <v>75</v>
      </c>
      <c r="K420" t="s">
        <v>81</v>
      </c>
      <c r="L420" t="s">
        <v>101</v>
      </c>
      <c r="N420">
        <v>0</v>
      </c>
      <c r="O420" s="1">
        <v>46077.673136574071</v>
      </c>
      <c r="P420" t="s">
        <v>82</v>
      </c>
      <c r="Q420" t="s">
        <v>340</v>
      </c>
      <c r="R420" t="s">
        <v>77</v>
      </c>
    </row>
    <row r="421" spans="1:18" ht="15" customHeight="1">
      <c r="A421" t="s">
        <v>1040</v>
      </c>
      <c r="B421" s="1">
        <v>46077.488043981481</v>
      </c>
      <c r="C421" t="s">
        <v>61</v>
      </c>
      <c r="D421" t="s">
        <v>9</v>
      </c>
      <c r="E421" t="s">
        <v>1</v>
      </c>
      <c r="F421" t="s">
        <v>36</v>
      </c>
      <c r="G421" t="s">
        <v>21</v>
      </c>
      <c r="H421" s="2" t="s">
        <v>1041</v>
      </c>
      <c r="I421" t="s">
        <v>113</v>
      </c>
      <c r="J421" t="s">
        <v>75</v>
      </c>
      <c r="K421" t="s">
        <v>81</v>
      </c>
      <c r="L421" t="s">
        <v>113</v>
      </c>
      <c r="N421">
        <v>0</v>
      </c>
      <c r="O421" s="1">
        <v>46078.416539351849</v>
      </c>
      <c r="P421" t="s">
        <v>82</v>
      </c>
      <c r="Q421" t="s">
        <v>69</v>
      </c>
      <c r="R421" t="s">
        <v>77</v>
      </c>
    </row>
    <row r="422" spans="1:18" ht="15" customHeight="1">
      <c r="A422" t="s">
        <v>1042</v>
      </c>
      <c r="B422" s="1">
        <v>46077.498425925929</v>
      </c>
      <c r="C422" t="s">
        <v>61</v>
      </c>
      <c r="D422" t="s">
        <v>9</v>
      </c>
      <c r="E422" t="s">
        <v>1</v>
      </c>
      <c r="F422" t="s">
        <v>36</v>
      </c>
      <c r="G422" t="s">
        <v>21</v>
      </c>
      <c r="H422" s="2" t="s">
        <v>1043</v>
      </c>
      <c r="I422" t="s">
        <v>113</v>
      </c>
      <c r="J422" t="s">
        <v>75</v>
      </c>
      <c r="K422" t="s">
        <v>81</v>
      </c>
      <c r="L422" t="s">
        <v>113</v>
      </c>
      <c r="N422">
        <v>0</v>
      </c>
      <c r="O422" s="1">
        <v>46077.695763888885</v>
      </c>
      <c r="P422" t="s">
        <v>82</v>
      </c>
      <c r="Q422" t="s">
        <v>69</v>
      </c>
      <c r="R422" t="s">
        <v>77</v>
      </c>
    </row>
    <row r="423" spans="1:18" ht="15" customHeight="1">
      <c r="A423" t="s">
        <v>1044</v>
      </c>
      <c r="B423" s="1">
        <v>46077.63784722222</v>
      </c>
      <c r="C423" t="s">
        <v>61</v>
      </c>
      <c r="D423" t="s">
        <v>9</v>
      </c>
      <c r="E423" t="s">
        <v>63</v>
      </c>
      <c r="H423" t="s">
        <v>171</v>
      </c>
      <c r="I423" t="s">
        <v>121</v>
      </c>
      <c r="J423" t="s">
        <v>75</v>
      </c>
      <c r="K423" t="s">
        <v>76</v>
      </c>
      <c r="L423" t="s">
        <v>121</v>
      </c>
      <c r="N423">
        <v>1</v>
      </c>
      <c r="O423" s="1">
        <v>46077.638761574075</v>
      </c>
      <c r="Q423" t="s">
        <v>69</v>
      </c>
      <c r="R423" t="s">
        <v>77</v>
      </c>
    </row>
    <row r="424" spans="1:18" ht="15" customHeight="1">
      <c r="A424" t="s">
        <v>1045</v>
      </c>
      <c r="B424" s="1">
        <v>46077.644976851851</v>
      </c>
      <c r="C424" t="s">
        <v>61</v>
      </c>
      <c r="D424" t="s">
        <v>9</v>
      </c>
      <c r="E424" t="s">
        <v>63</v>
      </c>
      <c r="H424" s="2" t="s">
        <v>1046</v>
      </c>
      <c r="I424" t="s">
        <v>1047</v>
      </c>
      <c r="J424" t="s">
        <v>75</v>
      </c>
      <c r="K424" t="s">
        <v>76</v>
      </c>
      <c r="L424" t="s">
        <v>1047</v>
      </c>
      <c r="N424">
        <v>0</v>
      </c>
      <c r="O424" s="1">
        <v>46078.40353009259</v>
      </c>
      <c r="P424" t="s">
        <v>91</v>
      </c>
      <c r="Q424" t="s">
        <v>147</v>
      </c>
      <c r="R424" t="s">
        <v>125</v>
      </c>
    </row>
    <row r="425" spans="1:18" ht="15" customHeight="1">
      <c r="A425" t="s">
        <v>1048</v>
      </c>
      <c r="B425" s="1">
        <v>46077.651631944442</v>
      </c>
      <c r="C425" t="s">
        <v>184</v>
      </c>
      <c r="D425" t="s">
        <v>9</v>
      </c>
      <c r="E425" t="s">
        <v>1</v>
      </c>
      <c r="F425" t="s">
        <v>35</v>
      </c>
      <c r="G425" t="s">
        <v>19</v>
      </c>
      <c r="H425" s="2" t="s">
        <v>1049</v>
      </c>
      <c r="I425" t="s">
        <v>210</v>
      </c>
      <c r="J425" t="s">
        <v>75</v>
      </c>
      <c r="K425" t="s">
        <v>76</v>
      </c>
      <c r="L425" t="s">
        <v>210</v>
      </c>
      <c r="N425">
        <v>0</v>
      </c>
      <c r="P425" t="s">
        <v>97</v>
      </c>
      <c r="R425" t="s">
        <v>210</v>
      </c>
    </row>
    <row r="426" spans="1:18" ht="15" customHeight="1">
      <c r="A426" t="s">
        <v>1050</v>
      </c>
      <c r="B426" s="1">
        <v>46077.657118055555</v>
      </c>
      <c r="C426" t="s">
        <v>61</v>
      </c>
      <c r="D426" t="s">
        <v>9</v>
      </c>
      <c r="E426" t="s">
        <v>1</v>
      </c>
      <c r="F426" t="s">
        <v>27</v>
      </c>
      <c r="G426" t="s">
        <v>14</v>
      </c>
      <c r="H426" s="2" t="s">
        <v>1051</v>
      </c>
      <c r="I426" t="s">
        <v>581</v>
      </c>
      <c r="J426" t="s">
        <v>75</v>
      </c>
      <c r="K426" t="s">
        <v>81</v>
      </c>
      <c r="L426" t="s">
        <v>581</v>
      </c>
      <c r="N426">
        <v>0</v>
      </c>
      <c r="O426" s="1">
        <v>46085.313680555555</v>
      </c>
      <c r="P426" t="s">
        <v>97</v>
      </c>
      <c r="Q426" t="s">
        <v>117</v>
      </c>
      <c r="R426" t="s">
        <v>77</v>
      </c>
    </row>
    <row r="427" spans="1:18" ht="15" customHeight="1">
      <c r="A427" t="s">
        <v>1052</v>
      </c>
      <c r="B427" s="1">
        <v>46078.278194444443</v>
      </c>
      <c r="C427" t="s">
        <v>61</v>
      </c>
      <c r="D427" t="s">
        <v>62</v>
      </c>
      <c r="E427" t="s">
        <v>63</v>
      </c>
      <c r="H427" t="s">
        <v>1053</v>
      </c>
      <c r="I427" t="s">
        <v>497</v>
      </c>
      <c r="J427" t="s">
        <v>66</v>
      </c>
      <c r="K427" t="s">
        <v>76</v>
      </c>
      <c r="L427" t="s">
        <v>497</v>
      </c>
      <c r="N427">
        <v>0</v>
      </c>
      <c r="O427" s="1">
        <v>46079.375462962962</v>
      </c>
      <c r="P427" t="s">
        <v>97</v>
      </c>
      <c r="Q427" t="s">
        <v>117</v>
      </c>
      <c r="R427" t="s">
        <v>497</v>
      </c>
    </row>
    <row r="428" spans="1:18" ht="15" customHeight="1">
      <c r="A428" t="s">
        <v>1054</v>
      </c>
      <c r="B428" s="1">
        <v>46078.366273148145</v>
      </c>
      <c r="C428" t="s">
        <v>61</v>
      </c>
      <c r="D428" t="s">
        <v>9</v>
      </c>
      <c r="E428" t="s">
        <v>1</v>
      </c>
      <c r="F428" t="s">
        <v>26</v>
      </c>
      <c r="G428" t="s">
        <v>19</v>
      </c>
      <c r="H428" s="2" t="s">
        <v>1055</v>
      </c>
      <c r="I428" t="s">
        <v>214</v>
      </c>
      <c r="J428" t="s">
        <v>75</v>
      </c>
      <c r="K428" t="s">
        <v>81</v>
      </c>
      <c r="L428" t="s">
        <v>214</v>
      </c>
      <c r="N428">
        <v>0</v>
      </c>
      <c r="O428" s="1">
        <v>46098.617789351854</v>
      </c>
      <c r="P428" t="s">
        <v>97</v>
      </c>
      <c r="Q428" t="s">
        <v>98</v>
      </c>
      <c r="R428" t="s">
        <v>125</v>
      </c>
    </row>
    <row r="429" spans="1:18" ht="15" customHeight="1">
      <c r="A429" t="s">
        <v>1056</v>
      </c>
      <c r="B429" s="1">
        <v>46078.488981481481</v>
      </c>
      <c r="C429" t="s">
        <v>425</v>
      </c>
      <c r="D429" t="s">
        <v>9</v>
      </c>
      <c r="E429" t="s">
        <v>1</v>
      </c>
      <c r="F429" t="s">
        <v>26</v>
      </c>
      <c r="G429" t="s">
        <v>14</v>
      </c>
      <c r="H429" s="2" t="s">
        <v>1057</v>
      </c>
      <c r="I429" t="s">
        <v>1058</v>
      </c>
      <c r="J429" t="s">
        <v>75</v>
      </c>
      <c r="K429" t="s">
        <v>81</v>
      </c>
      <c r="L429" t="s">
        <v>1058</v>
      </c>
      <c r="N429">
        <v>0</v>
      </c>
      <c r="O429" s="1">
        <v>46106.303402777776</v>
      </c>
      <c r="P429" t="s">
        <v>97</v>
      </c>
      <c r="Q429" t="s">
        <v>211</v>
      </c>
      <c r="R429" t="s">
        <v>125</v>
      </c>
    </row>
    <row r="430" spans="1:18" ht="15" customHeight="1">
      <c r="A430" t="s">
        <v>1059</v>
      </c>
      <c r="B430" s="1">
        <v>46078.487326388888</v>
      </c>
      <c r="C430" t="s">
        <v>61</v>
      </c>
      <c r="D430" t="s">
        <v>9</v>
      </c>
      <c r="E430" t="s">
        <v>1</v>
      </c>
      <c r="F430" t="s">
        <v>37</v>
      </c>
      <c r="G430" t="s">
        <v>11</v>
      </c>
      <c r="H430" s="2" t="s">
        <v>1060</v>
      </c>
      <c r="I430" t="s">
        <v>101</v>
      </c>
      <c r="J430" t="s">
        <v>75</v>
      </c>
      <c r="K430" t="s">
        <v>81</v>
      </c>
      <c r="L430" t="s">
        <v>101</v>
      </c>
      <c r="N430">
        <v>0</v>
      </c>
      <c r="O430" s="1">
        <v>46078.734293981484</v>
      </c>
      <c r="P430" t="s">
        <v>82</v>
      </c>
      <c r="Q430" t="s">
        <v>117</v>
      </c>
      <c r="R430" t="s">
        <v>589</v>
      </c>
    </row>
    <row r="431" spans="1:18" ht="15" customHeight="1">
      <c r="A431" t="s">
        <v>1061</v>
      </c>
      <c r="B431" s="1">
        <v>46078.644606481481</v>
      </c>
      <c r="C431" t="s">
        <v>61</v>
      </c>
      <c r="D431" t="s">
        <v>9</v>
      </c>
      <c r="E431" t="s">
        <v>1</v>
      </c>
      <c r="F431" t="s">
        <v>28</v>
      </c>
      <c r="G431" t="s">
        <v>11</v>
      </c>
      <c r="H431" s="2" t="s">
        <v>1062</v>
      </c>
      <c r="I431" t="s">
        <v>150</v>
      </c>
      <c r="J431" t="s">
        <v>75</v>
      </c>
      <c r="K431" t="s">
        <v>81</v>
      </c>
      <c r="L431" t="s">
        <v>150</v>
      </c>
      <c r="N431">
        <v>0</v>
      </c>
      <c r="O431" s="1">
        <v>46078.713518518518</v>
      </c>
      <c r="P431" t="s">
        <v>82</v>
      </c>
      <c r="Q431" t="s">
        <v>69</v>
      </c>
      <c r="R431" t="s">
        <v>92</v>
      </c>
    </row>
    <row r="432" spans="1:18" ht="15" customHeight="1">
      <c r="A432" t="s">
        <v>1063</v>
      </c>
      <c r="B432" s="1">
        <v>46078.647592592592</v>
      </c>
      <c r="C432" t="s">
        <v>61</v>
      </c>
      <c r="D432" t="s">
        <v>9</v>
      </c>
      <c r="E432" t="s">
        <v>63</v>
      </c>
      <c r="H432" s="2" t="s">
        <v>1064</v>
      </c>
      <c r="I432" t="s">
        <v>1065</v>
      </c>
      <c r="J432" t="s">
        <v>75</v>
      </c>
      <c r="K432" t="s">
        <v>76</v>
      </c>
      <c r="L432" t="s">
        <v>1065</v>
      </c>
      <c r="N432">
        <v>1</v>
      </c>
      <c r="O432" s="1">
        <v>46078.649756944447</v>
      </c>
      <c r="Q432" t="s">
        <v>69</v>
      </c>
      <c r="R432" t="s">
        <v>589</v>
      </c>
    </row>
    <row r="433" spans="1:18" ht="15" customHeight="1">
      <c r="A433" t="s">
        <v>1066</v>
      </c>
      <c r="B433" s="1">
        <v>46078.665162037039</v>
      </c>
      <c r="C433" t="s">
        <v>61</v>
      </c>
      <c r="D433" t="s">
        <v>9</v>
      </c>
      <c r="E433" t="s">
        <v>63</v>
      </c>
      <c r="H433" t="s">
        <v>139</v>
      </c>
      <c r="I433" t="s">
        <v>121</v>
      </c>
      <c r="J433" t="s">
        <v>75</v>
      </c>
      <c r="K433" t="s">
        <v>76</v>
      </c>
      <c r="L433" t="s">
        <v>121</v>
      </c>
      <c r="N433">
        <v>1</v>
      </c>
      <c r="O433" s="1">
        <v>46078.666990740741</v>
      </c>
      <c r="Q433" t="s">
        <v>141</v>
      </c>
      <c r="R433" t="s">
        <v>87</v>
      </c>
    </row>
    <row r="434" spans="1:18" ht="15" customHeight="1">
      <c r="A434" t="s">
        <v>1067</v>
      </c>
      <c r="B434" s="1">
        <v>46078.670046296298</v>
      </c>
      <c r="C434" t="s">
        <v>61</v>
      </c>
      <c r="D434" t="s">
        <v>9</v>
      </c>
      <c r="E434" t="s">
        <v>63</v>
      </c>
      <c r="H434" t="s">
        <v>1068</v>
      </c>
      <c r="I434" t="s">
        <v>1069</v>
      </c>
      <c r="J434" t="s">
        <v>75</v>
      </c>
      <c r="K434" t="s">
        <v>81</v>
      </c>
      <c r="L434" t="s">
        <v>1069</v>
      </c>
      <c r="N434">
        <v>0</v>
      </c>
      <c r="O434" s="1">
        <v>46078.725844907407</v>
      </c>
      <c r="P434" t="s">
        <v>1070</v>
      </c>
      <c r="Q434" t="s">
        <v>141</v>
      </c>
      <c r="R434" t="s">
        <v>92</v>
      </c>
    </row>
    <row r="435" spans="1:18" ht="15" customHeight="1">
      <c r="A435" t="s">
        <v>1071</v>
      </c>
      <c r="B435" s="1">
        <v>46078.68712962963</v>
      </c>
      <c r="C435" t="s">
        <v>61</v>
      </c>
      <c r="D435" t="s">
        <v>9</v>
      </c>
      <c r="E435" t="s">
        <v>63</v>
      </c>
      <c r="H435" t="s">
        <v>1072</v>
      </c>
      <c r="I435" t="s">
        <v>369</v>
      </c>
      <c r="J435" t="s">
        <v>75</v>
      </c>
      <c r="K435" t="s">
        <v>76</v>
      </c>
      <c r="L435" t="s">
        <v>369</v>
      </c>
      <c r="N435">
        <v>1</v>
      </c>
      <c r="O435" s="1">
        <v>46078.690115740741</v>
      </c>
      <c r="Q435" t="s">
        <v>147</v>
      </c>
      <c r="R435" t="s">
        <v>87</v>
      </c>
    </row>
    <row r="436" spans="1:18" ht="15" customHeight="1">
      <c r="A436" t="s">
        <v>1073</v>
      </c>
      <c r="B436" s="1">
        <v>46078.690254629626</v>
      </c>
      <c r="C436" t="s">
        <v>61</v>
      </c>
      <c r="D436" t="s">
        <v>9</v>
      </c>
      <c r="E436" t="s">
        <v>1</v>
      </c>
      <c r="F436" t="s">
        <v>36</v>
      </c>
      <c r="G436" t="s">
        <v>14</v>
      </c>
      <c r="H436" s="2" t="s">
        <v>1074</v>
      </c>
      <c r="I436" t="s">
        <v>113</v>
      </c>
      <c r="J436" t="s">
        <v>75</v>
      </c>
      <c r="K436" t="s">
        <v>81</v>
      </c>
      <c r="L436" t="s">
        <v>113</v>
      </c>
      <c r="N436">
        <v>0</v>
      </c>
      <c r="O436" s="1">
        <v>46106.306666666664</v>
      </c>
      <c r="P436" t="s">
        <v>97</v>
      </c>
      <c r="Q436" t="s">
        <v>69</v>
      </c>
      <c r="R436" t="s">
        <v>77</v>
      </c>
    </row>
    <row r="437" spans="1:18" ht="15" customHeight="1">
      <c r="A437" t="s">
        <v>1075</v>
      </c>
      <c r="B437" s="1">
        <v>46079.269791666666</v>
      </c>
      <c r="C437" t="s">
        <v>61</v>
      </c>
      <c r="D437" t="s">
        <v>62</v>
      </c>
      <c r="E437" t="s">
        <v>63</v>
      </c>
      <c r="H437" s="2" t="s">
        <v>1076</v>
      </c>
      <c r="I437" t="s">
        <v>329</v>
      </c>
      <c r="J437" t="s">
        <v>66</v>
      </c>
      <c r="K437" t="s">
        <v>76</v>
      </c>
      <c r="L437" t="s">
        <v>329</v>
      </c>
      <c r="N437">
        <v>0</v>
      </c>
      <c r="O437" s="1">
        <v>46080.339212962965</v>
      </c>
      <c r="P437" t="s">
        <v>97</v>
      </c>
      <c r="Q437" t="s">
        <v>69</v>
      </c>
      <c r="R437" t="s">
        <v>329</v>
      </c>
    </row>
    <row r="438" spans="1:18" ht="15" customHeight="1">
      <c r="A438" t="s">
        <v>1077</v>
      </c>
      <c r="B438" s="1">
        <v>46079.398912037039</v>
      </c>
      <c r="C438" t="s">
        <v>61</v>
      </c>
      <c r="D438" t="s">
        <v>9</v>
      </c>
      <c r="E438" t="s">
        <v>63</v>
      </c>
      <c r="H438" s="2" t="s">
        <v>1078</v>
      </c>
      <c r="I438" t="s">
        <v>154</v>
      </c>
      <c r="J438" t="s">
        <v>96</v>
      </c>
      <c r="K438" t="s">
        <v>76</v>
      </c>
      <c r="L438" t="s">
        <v>154</v>
      </c>
      <c r="N438">
        <v>0</v>
      </c>
      <c r="O438" s="1">
        <v>46079.413078703707</v>
      </c>
      <c r="P438" t="s">
        <v>91</v>
      </c>
      <c r="Q438" t="s">
        <v>147</v>
      </c>
      <c r="R438" t="s">
        <v>354</v>
      </c>
    </row>
    <row r="439" spans="1:18" ht="15" customHeight="1">
      <c r="A439" t="s">
        <v>1079</v>
      </c>
      <c r="B439" s="1">
        <v>46079.442731481482</v>
      </c>
      <c r="C439" t="s">
        <v>184</v>
      </c>
      <c r="D439" t="s">
        <v>9</v>
      </c>
      <c r="E439" t="s">
        <v>1</v>
      </c>
      <c r="F439" t="s">
        <v>29</v>
      </c>
      <c r="G439" t="s">
        <v>19</v>
      </c>
      <c r="H439" s="2" t="s">
        <v>1080</v>
      </c>
      <c r="I439" t="s">
        <v>389</v>
      </c>
      <c r="J439" t="s">
        <v>75</v>
      </c>
      <c r="K439" t="s">
        <v>81</v>
      </c>
      <c r="L439" t="s">
        <v>389</v>
      </c>
      <c r="N439">
        <v>0</v>
      </c>
      <c r="P439" t="s">
        <v>97</v>
      </c>
      <c r="R439" t="s">
        <v>77</v>
      </c>
    </row>
    <row r="440" spans="1:18" ht="15" customHeight="1">
      <c r="A440" t="s">
        <v>1081</v>
      </c>
      <c r="B440" s="1">
        <v>46079.475821759261</v>
      </c>
      <c r="C440" t="s">
        <v>61</v>
      </c>
      <c r="D440" t="s">
        <v>9</v>
      </c>
      <c r="E440" t="s">
        <v>1</v>
      </c>
      <c r="F440" t="s">
        <v>41</v>
      </c>
      <c r="G440" t="s">
        <v>16</v>
      </c>
      <c r="H440" s="2" t="s">
        <v>1082</v>
      </c>
      <c r="I440" t="s">
        <v>167</v>
      </c>
      <c r="J440" t="s">
        <v>96</v>
      </c>
      <c r="K440" t="s">
        <v>76</v>
      </c>
      <c r="L440" t="s">
        <v>167</v>
      </c>
      <c r="N440">
        <v>0</v>
      </c>
      <c r="O440" s="1">
        <v>46087.701307870368</v>
      </c>
      <c r="P440" t="s">
        <v>97</v>
      </c>
      <c r="Q440" t="s">
        <v>69</v>
      </c>
      <c r="R440" t="s">
        <v>167</v>
      </c>
    </row>
    <row r="441" spans="1:18" ht="15" customHeight="1">
      <c r="A441" t="s">
        <v>1083</v>
      </c>
      <c r="B441" s="1">
        <v>46079.599131944444</v>
      </c>
      <c r="C441" t="s">
        <v>61</v>
      </c>
      <c r="D441" t="s">
        <v>9</v>
      </c>
      <c r="E441" t="s">
        <v>63</v>
      </c>
      <c r="H441" s="2" t="s">
        <v>1084</v>
      </c>
      <c r="I441" t="s">
        <v>1085</v>
      </c>
      <c r="J441" t="s">
        <v>75</v>
      </c>
      <c r="K441" t="s">
        <v>76</v>
      </c>
      <c r="L441" t="s">
        <v>1086</v>
      </c>
      <c r="N441">
        <v>0</v>
      </c>
      <c r="O441" s="1">
        <v>46079.617777777778</v>
      </c>
      <c r="P441" t="s">
        <v>91</v>
      </c>
      <c r="Q441" t="s">
        <v>147</v>
      </c>
      <c r="R441" t="s">
        <v>125</v>
      </c>
    </row>
    <row r="442" spans="1:18" ht="15" customHeight="1">
      <c r="A442" t="s">
        <v>1087</v>
      </c>
      <c r="B442" s="1">
        <v>46079.608414351853</v>
      </c>
      <c r="C442" t="s">
        <v>165</v>
      </c>
      <c r="D442" t="s">
        <v>9</v>
      </c>
      <c r="E442" t="s">
        <v>1</v>
      </c>
      <c r="F442" t="s">
        <v>37</v>
      </c>
      <c r="G442" t="s">
        <v>11</v>
      </c>
      <c r="H442" s="2" t="s">
        <v>1088</v>
      </c>
      <c r="I442" t="s">
        <v>154</v>
      </c>
      <c r="J442" t="s">
        <v>75</v>
      </c>
      <c r="K442" t="s">
        <v>81</v>
      </c>
      <c r="L442" t="s">
        <v>154</v>
      </c>
      <c r="N442">
        <v>0</v>
      </c>
      <c r="P442" t="s">
        <v>82</v>
      </c>
      <c r="R442" t="s">
        <v>77</v>
      </c>
    </row>
    <row r="443" spans="1:18" ht="15" customHeight="1">
      <c r="A443" t="s">
        <v>1089</v>
      </c>
      <c r="B443" s="1">
        <v>46079.660243055558</v>
      </c>
      <c r="C443" t="s">
        <v>61</v>
      </c>
      <c r="D443" t="s">
        <v>9</v>
      </c>
      <c r="E443" t="s">
        <v>63</v>
      </c>
      <c r="H443" s="2" t="s">
        <v>1090</v>
      </c>
      <c r="I443" t="s">
        <v>121</v>
      </c>
      <c r="J443" t="s">
        <v>75</v>
      </c>
      <c r="K443" t="s">
        <v>76</v>
      </c>
      <c r="L443" t="s">
        <v>121</v>
      </c>
      <c r="N443">
        <v>1</v>
      </c>
      <c r="O443" s="1">
        <v>46079.662662037037</v>
      </c>
      <c r="Q443" t="s">
        <v>69</v>
      </c>
      <c r="R443" t="s">
        <v>589</v>
      </c>
    </row>
    <row r="444" spans="1:18" ht="15" customHeight="1">
      <c r="A444" t="s">
        <v>1091</v>
      </c>
      <c r="B444" s="1">
        <v>46079.661365740743</v>
      </c>
      <c r="C444" t="s">
        <v>61</v>
      </c>
      <c r="D444" t="s">
        <v>9</v>
      </c>
      <c r="E444" t="s">
        <v>63</v>
      </c>
      <c r="H444" s="2" t="s">
        <v>1092</v>
      </c>
      <c r="I444" t="s">
        <v>686</v>
      </c>
      <c r="J444" t="s">
        <v>75</v>
      </c>
      <c r="K444" t="s">
        <v>76</v>
      </c>
      <c r="L444" t="s">
        <v>686</v>
      </c>
      <c r="N444">
        <v>1</v>
      </c>
      <c r="O444" s="1">
        <v>46079.663946759261</v>
      </c>
      <c r="Q444" t="s">
        <v>141</v>
      </c>
      <c r="R444" t="s">
        <v>155</v>
      </c>
    </row>
    <row r="445" spans="1:18" ht="15" customHeight="1">
      <c r="A445" t="s">
        <v>1093</v>
      </c>
      <c r="B445" s="1">
        <v>46080.27579861111</v>
      </c>
      <c r="C445" t="s">
        <v>61</v>
      </c>
      <c r="D445" t="s">
        <v>62</v>
      </c>
      <c r="E445" t="s">
        <v>63</v>
      </c>
      <c r="H445" s="2" t="s">
        <v>1094</v>
      </c>
      <c r="I445" t="s">
        <v>497</v>
      </c>
      <c r="J445" t="s">
        <v>66</v>
      </c>
      <c r="K445" t="s">
        <v>76</v>
      </c>
      <c r="L445" t="s">
        <v>497</v>
      </c>
      <c r="N445">
        <v>0</v>
      </c>
      <c r="O445" s="1">
        <v>46080.503750000003</v>
      </c>
      <c r="P445" t="s">
        <v>97</v>
      </c>
      <c r="Q445" t="s">
        <v>69</v>
      </c>
      <c r="R445" t="s">
        <v>497</v>
      </c>
    </row>
    <row r="446" spans="1:18" ht="15" customHeight="1">
      <c r="A446" t="s">
        <v>1095</v>
      </c>
      <c r="B446" s="1">
        <v>46080.350011574075</v>
      </c>
      <c r="C446" t="s">
        <v>61</v>
      </c>
      <c r="D446" t="s">
        <v>9</v>
      </c>
      <c r="E446" t="s">
        <v>63</v>
      </c>
      <c r="H446" s="2" t="s">
        <v>1096</v>
      </c>
      <c r="I446" t="s">
        <v>1097</v>
      </c>
      <c r="J446" t="s">
        <v>75</v>
      </c>
      <c r="K446" t="s">
        <v>81</v>
      </c>
      <c r="L446" t="s">
        <v>1098</v>
      </c>
      <c r="N446">
        <v>1</v>
      </c>
      <c r="O446" s="1">
        <v>46080.352430555555</v>
      </c>
      <c r="Q446" t="s">
        <v>69</v>
      </c>
      <c r="R446" t="s">
        <v>589</v>
      </c>
    </row>
    <row r="447" spans="1:18" ht="15" customHeight="1">
      <c r="A447" t="s">
        <v>1099</v>
      </c>
      <c r="B447" s="1">
        <v>46080.36142361111</v>
      </c>
      <c r="C447" t="s">
        <v>61</v>
      </c>
      <c r="D447" t="s">
        <v>9</v>
      </c>
      <c r="E447" t="s">
        <v>1</v>
      </c>
      <c r="F447" t="s">
        <v>41</v>
      </c>
      <c r="G447" t="s">
        <v>18</v>
      </c>
      <c r="H447" s="2" t="s">
        <v>1100</v>
      </c>
      <c r="I447" t="s">
        <v>118</v>
      </c>
      <c r="J447" t="s">
        <v>75</v>
      </c>
      <c r="K447" t="s">
        <v>76</v>
      </c>
      <c r="L447" t="s">
        <v>118</v>
      </c>
      <c r="N447">
        <v>0</v>
      </c>
      <c r="O447" s="1">
        <v>46085.326516203706</v>
      </c>
      <c r="P447" t="s">
        <v>97</v>
      </c>
      <c r="Q447" t="s">
        <v>117</v>
      </c>
      <c r="R447" t="s">
        <v>118</v>
      </c>
    </row>
    <row r="448" spans="1:18" ht="15" customHeight="1">
      <c r="A448" t="s">
        <v>1101</v>
      </c>
      <c r="B448" s="1">
        <v>46080.390439814815</v>
      </c>
      <c r="C448" t="s">
        <v>61</v>
      </c>
      <c r="D448" t="s">
        <v>9</v>
      </c>
      <c r="E448" t="s">
        <v>1</v>
      </c>
      <c r="F448" t="s">
        <v>41</v>
      </c>
      <c r="G448" t="s">
        <v>18</v>
      </c>
      <c r="H448" s="2" t="s">
        <v>1102</v>
      </c>
      <c r="I448" t="s">
        <v>118</v>
      </c>
      <c r="J448" t="s">
        <v>75</v>
      </c>
      <c r="K448" t="s">
        <v>76</v>
      </c>
      <c r="L448" t="s">
        <v>118</v>
      </c>
      <c r="N448">
        <v>0</v>
      </c>
      <c r="O448" s="1">
        <v>46085.326724537037</v>
      </c>
      <c r="P448" t="s">
        <v>97</v>
      </c>
      <c r="Q448" t="s">
        <v>117</v>
      </c>
      <c r="R448" t="s">
        <v>118</v>
      </c>
    </row>
    <row r="449" spans="1:18" ht="15" customHeight="1">
      <c r="A449" t="s">
        <v>1103</v>
      </c>
      <c r="B449" s="1">
        <v>46080.386956018519</v>
      </c>
      <c r="C449" t="s">
        <v>61</v>
      </c>
      <c r="D449" t="s">
        <v>9</v>
      </c>
      <c r="E449" t="s">
        <v>1</v>
      </c>
      <c r="F449" t="s">
        <v>37</v>
      </c>
      <c r="G449" t="s">
        <v>21</v>
      </c>
      <c r="H449" s="2" t="s">
        <v>1104</v>
      </c>
      <c r="I449" t="s">
        <v>586</v>
      </c>
      <c r="J449" t="s">
        <v>75</v>
      </c>
      <c r="K449" t="s">
        <v>81</v>
      </c>
      <c r="L449" t="s">
        <v>586</v>
      </c>
      <c r="N449">
        <v>0</v>
      </c>
      <c r="O449" s="1">
        <v>46080.480694444443</v>
      </c>
      <c r="P449" t="s">
        <v>82</v>
      </c>
      <c r="Q449" t="s">
        <v>69</v>
      </c>
      <c r="R449" t="s">
        <v>780</v>
      </c>
    </row>
    <row r="450" spans="1:18" ht="15" customHeight="1">
      <c r="A450" t="s">
        <v>1105</v>
      </c>
      <c r="B450" s="1">
        <v>46080.637569444443</v>
      </c>
      <c r="C450" t="s">
        <v>61</v>
      </c>
      <c r="D450" t="s">
        <v>9</v>
      </c>
      <c r="E450" t="s">
        <v>63</v>
      </c>
      <c r="H450" s="2" t="s">
        <v>1106</v>
      </c>
      <c r="I450" t="s">
        <v>1107</v>
      </c>
      <c r="J450" t="s">
        <v>75</v>
      </c>
      <c r="K450" t="s">
        <v>76</v>
      </c>
      <c r="L450" t="s">
        <v>1107</v>
      </c>
      <c r="N450">
        <v>1</v>
      </c>
      <c r="O450" s="1">
        <v>46080.643877314818</v>
      </c>
      <c r="Q450" t="s">
        <v>69</v>
      </c>
      <c r="R450" t="s">
        <v>77</v>
      </c>
    </row>
    <row r="451" spans="1:18" ht="15" customHeight="1">
      <c r="A451" t="s">
        <v>1108</v>
      </c>
      <c r="B451" s="1">
        <v>46080.746620370373</v>
      </c>
      <c r="C451" t="s">
        <v>61</v>
      </c>
      <c r="D451" t="s">
        <v>9</v>
      </c>
      <c r="E451" t="s">
        <v>1</v>
      </c>
      <c r="F451" t="s">
        <v>27</v>
      </c>
      <c r="G451" t="s">
        <v>14</v>
      </c>
      <c r="H451" s="2" t="s">
        <v>1109</v>
      </c>
      <c r="I451" t="s">
        <v>124</v>
      </c>
      <c r="J451" t="s">
        <v>75</v>
      </c>
      <c r="K451" t="s">
        <v>81</v>
      </c>
      <c r="L451" t="s">
        <v>124</v>
      </c>
      <c r="N451">
        <v>0</v>
      </c>
      <c r="O451" s="1">
        <v>46085.314652777779</v>
      </c>
      <c r="P451" t="s">
        <v>97</v>
      </c>
      <c r="Q451" t="s">
        <v>117</v>
      </c>
      <c r="R451" t="s">
        <v>155</v>
      </c>
    </row>
    <row r="452" spans="1:18" ht="15" customHeight="1">
      <c r="A452" t="s">
        <v>1110</v>
      </c>
      <c r="B452" s="1">
        <v>46083.66034722222</v>
      </c>
      <c r="C452" t="s">
        <v>61</v>
      </c>
      <c r="D452" t="s">
        <v>9</v>
      </c>
      <c r="E452" t="s">
        <v>1</v>
      </c>
      <c r="F452" t="s">
        <v>35</v>
      </c>
      <c r="G452" t="s">
        <v>12</v>
      </c>
      <c r="H452" s="2" t="s">
        <v>1111</v>
      </c>
      <c r="I452" t="s">
        <v>210</v>
      </c>
      <c r="J452" t="s">
        <v>75</v>
      </c>
      <c r="K452" t="s">
        <v>76</v>
      </c>
      <c r="L452" t="s">
        <v>210</v>
      </c>
      <c r="N452">
        <v>0</v>
      </c>
      <c r="O452" s="1">
        <v>46085.315451388888</v>
      </c>
      <c r="P452" t="s">
        <v>97</v>
      </c>
      <c r="Q452" t="s">
        <v>117</v>
      </c>
      <c r="R452" t="s">
        <v>210</v>
      </c>
    </row>
    <row r="453" spans="1:18" ht="15" customHeight="1">
      <c r="A453" t="s">
        <v>1112</v>
      </c>
      <c r="B453" s="1">
        <v>46083.732349537036</v>
      </c>
      <c r="C453" t="s">
        <v>61</v>
      </c>
      <c r="D453" t="s">
        <v>9</v>
      </c>
      <c r="E453" t="s">
        <v>1</v>
      </c>
      <c r="F453" t="s">
        <v>28</v>
      </c>
      <c r="G453" t="s">
        <v>11</v>
      </c>
      <c r="H453" t="s">
        <v>1113</v>
      </c>
      <c r="I453" t="s">
        <v>150</v>
      </c>
      <c r="J453" t="s">
        <v>75</v>
      </c>
      <c r="K453" t="s">
        <v>81</v>
      </c>
      <c r="L453" t="s">
        <v>150</v>
      </c>
      <c r="N453">
        <v>0</v>
      </c>
      <c r="O453" s="1">
        <v>46086.508692129632</v>
      </c>
      <c r="P453" t="s">
        <v>97</v>
      </c>
      <c r="Q453" t="s">
        <v>69</v>
      </c>
      <c r="R453" t="s">
        <v>83</v>
      </c>
    </row>
    <row r="454" spans="1:18" ht="15" customHeight="1">
      <c r="A454" t="s">
        <v>1114</v>
      </c>
      <c r="B454" s="1">
        <v>46084.386666666665</v>
      </c>
      <c r="C454" t="s">
        <v>61</v>
      </c>
      <c r="D454" t="s">
        <v>9</v>
      </c>
      <c r="E454" t="s">
        <v>63</v>
      </c>
      <c r="H454" s="2" t="s">
        <v>1115</v>
      </c>
      <c r="I454" t="s">
        <v>1116</v>
      </c>
      <c r="J454" t="s">
        <v>75</v>
      </c>
      <c r="K454" t="s">
        <v>76</v>
      </c>
      <c r="L454" t="s">
        <v>1116</v>
      </c>
      <c r="N454">
        <v>0</v>
      </c>
      <c r="O454" s="1">
        <v>46084.411446759259</v>
      </c>
      <c r="P454" t="s">
        <v>91</v>
      </c>
      <c r="Q454" t="s">
        <v>147</v>
      </c>
      <c r="R454" t="s">
        <v>77</v>
      </c>
    </row>
    <row r="455" spans="1:18" ht="15" customHeight="1">
      <c r="A455" t="s">
        <v>1117</v>
      </c>
      <c r="B455" s="1">
        <v>46084.433912037035</v>
      </c>
      <c r="C455" t="s">
        <v>61</v>
      </c>
      <c r="D455" t="s">
        <v>9</v>
      </c>
      <c r="E455" t="s">
        <v>63</v>
      </c>
      <c r="H455" s="2" t="s">
        <v>1118</v>
      </c>
      <c r="I455" t="s">
        <v>1119</v>
      </c>
      <c r="J455" t="s">
        <v>75</v>
      </c>
      <c r="K455" t="s">
        <v>76</v>
      </c>
      <c r="L455" t="s">
        <v>1119</v>
      </c>
      <c r="N455">
        <v>1</v>
      </c>
      <c r="O455" s="1">
        <v>46084.435856481483</v>
      </c>
      <c r="Q455" t="s">
        <v>147</v>
      </c>
      <c r="R455" t="s">
        <v>125</v>
      </c>
    </row>
    <row r="456" spans="1:18" ht="15" customHeight="1">
      <c r="A456" t="s">
        <v>1120</v>
      </c>
      <c r="B456" s="1">
        <v>46084.443009259259</v>
      </c>
      <c r="C456" t="s">
        <v>61</v>
      </c>
      <c r="D456" t="s">
        <v>9</v>
      </c>
      <c r="E456" t="s">
        <v>1</v>
      </c>
      <c r="F456" t="s">
        <v>31</v>
      </c>
      <c r="G456" t="s">
        <v>11</v>
      </c>
      <c r="H456" s="2" t="s">
        <v>1121</v>
      </c>
      <c r="I456" t="s">
        <v>1097</v>
      </c>
      <c r="J456" t="s">
        <v>75</v>
      </c>
      <c r="K456" t="s">
        <v>81</v>
      </c>
      <c r="L456" t="s">
        <v>1097</v>
      </c>
      <c r="N456">
        <v>0</v>
      </c>
      <c r="O456" s="1">
        <v>46087.483506944445</v>
      </c>
      <c r="P456" t="s">
        <v>97</v>
      </c>
      <c r="Q456" t="s">
        <v>69</v>
      </c>
      <c r="R456" t="s">
        <v>125</v>
      </c>
    </row>
    <row r="457" spans="1:18" ht="15" customHeight="1">
      <c r="A457" t="s">
        <v>1122</v>
      </c>
      <c r="B457" s="1">
        <v>46084.450844907406</v>
      </c>
      <c r="C457" t="s">
        <v>61</v>
      </c>
      <c r="D457" t="s">
        <v>9</v>
      </c>
      <c r="E457" t="s">
        <v>63</v>
      </c>
      <c r="H457" t="s">
        <v>1123</v>
      </c>
      <c r="I457" t="s">
        <v>1119</v>
      </c>
      <c r="J457" t="s">
        <v>75</v>
      </c>
      <c r="K457" t="s">
        <v>76</v>
      </c>
      <c r="L457" t="s">
        <v>1119</v>
      </c>
      <c r="N457">
        <v>0</v>
      </c>
      <c r="O457" s="1">
        <v>46084.479837962965</v>
      </c>
      <c r="P457" t="s">
        <v>91</v>
      </c>
      <c r="Q457" t="s">
        <v>147</v>
      </c>
      <c r="R457" t="s">
        <v>83</v>
      </c>
    </row>
    <row r="458" spans="1:18" ht="15" customHeight="1">
      <c r="A458" t="s">
        <v>1124</v>
      </c>
      <c r="B458" s="1">
        <v>46084.521099537036</v>
      </c>
      <c r="C458" t="s">
        <v>61</v>
      </c>
      <c r="D458" t="s">
        <v>9</v>
      </c>
      <c r="E458" t="s">
        <v>63</v>
      </c>
      <c r="H458" t="s">
        <v>1125</v>
      </c>
      <c r="I458" t="s">
        <v>86</v>
      </c>
      <c r="J458" t="s">
        <v>75</v>
      </c>
      <c r="K458" t="s">
        <v>76</v>
      </c>
      <c r="L458" t="s">
        <v>86</v>
      </c>
      <c r="N458">
        <v>1</v>
      </c>
      <c r="O458" s="1">
        <v>46084.522696759261</v>
      </c>
      <c r="Q458" t="s">
        <v>69</v>
      </c>
      <c r="R458" t="s">
        <v>780</v>
      </c>
    </row>
    <row r="459" spans="1:18" ht="15" customHeight="1">
      <c r="A459" t="s">
        <v>1126</v>
      </c>
      <c r="B459" s="1">
        <v>46084.538715277777</v>
      </c>
      <c r="C459" t="s">
        <v>294</v>
      </c>
      <c r="D459" t="s">
        <v>9</v>
      </c>
      <c r="E459" t="s">
        <v>1</v>
      </c>
      <c r="F459" t="s">
        <v>32</v>
      </c>
      <c r="G459" t="s">
        <v>11</v>
      </c>
      <c r="H459" t="s">
        <v>1127</v>
      </c>
      <c r="I459" t="s">
        <v>395</v>
      </c>
      <c r="J459" t="s">
        <v>75</v>
      </c>
      <c r="K459" t="s">
        <v>81</v>
      </c>
      <c r="L459" t="s">
        <v>395</v>
      </c>
      <c r="N459">
        <v>0</v>
      </c>
      <c r="P459" t="s">
        <v>97</v>
      </c>
      <c r="R459" t="s">
        <v>83</v>
      </c>
    </row>
    <row r="460" spans="1:18" ht="15" customHeight="1">
      <c r="A460" t="s">
        <v>1128</v>
      </c>
      <c r="B460" s="1">
        <v>46084.54241898148</v>
      </c>
      <c r="C460" t="s">
        <v>61</v>
      </c>
      <c r="D460" t="s">
        <v>327</v>
      </c>
      <c r="E460" t="s">
        <v>63</v>
      </c>
      <c r="H460" t="s">
        <v>1129</v>
      </c>
      <c r="I460" t="s">
        <v>403</v>
      </c>
      <c r="J460" t="s">
        <v>66</v>
      </c>
      <c r="K460" t="s">
        <v>67</v>
      </c>
      <c r="L460" t="s">
        <v>403</v>
      </c>
      <c r="N460">
        <v>0</v>
      </c>
      <c r="O460" s="1">
        <v>46084.603437500002</v>
      </c>
      <c r="P460" t="s">
        <v>1130</v>
      </c>
      <c r="Q460" t="s">
        <v>340</v>
      </c>
      <c r="R460" t="s">
        <v>403</v>
      </c>
    </row>
    <row r="461" spans="1:18" ht="15" customHeight="1">
      <c r="A461" t="s">
        <v>1131</v>
      </c>
      <c r="B461" s="1">
        <v>46084.599745370368</v>
      </c>
      <c r="C461" t="s">
        <v>184</v>
      </c>
      <c r="D461" t="s">
        <v>9</v>
      </c>
      <c r="E461" t="s">
        <v>1</v>
      </c>
      <c r="F461" t="s">
        <v>31</v>
      </c>
      <c r="G461" t="s">
        <v>19</v>
      </c>
      <c r="H461" s="2" t="s">
        <v>1132</v>
      </c>
      <c r="I461" t="s">
        <v>1133</v>
      </c>
      <c r="J461" t="s">
        <v>96</v>
      </c>
      <c r="K461" t="s">
        <v>76</v>
      </c>
      <c r="L461" t="s">
        <v>1133</v>
      </c>
      <c r="N461">
        <v>0</v>
      </c>
      <c r="P461" t="s">
        <v>97</v>
      </c>
      <c r="R461" t="s">
        <v>118</v>
      </c>
    </row>
    <row r="462" spans="1:18" ht="15" customHeight="1">
      <c r="A462" t="s">
        <v>1134</v>
      </c>
      <c r="B462" s="1">
        <v>46084.628877314812</v>
      </c>
      <c r="C462" t="s">
        <v>184</v>
      </c>
      <c r="D462" t="s">
        <v>9</v>
      </c>
      <c r="E462" t="s">
        <v>1</v>
      </c>
      <c r="F462" t="s">
        <v>37</v>
      </c>
      <c r="G462" t="s">
        <v>19</v>
      </c>
      <c r="H462" s="2" t="s">
        <v>1135</v>
      </c>
      <c r="I462" t="s">
        <v>118</v>
      </c>
      <c r="J462" t="s">
        <v>75</v>
      </c>
      <c r="K462" t="s">
        <v>76</v>
      </c>
      <c r="L462" t="s">
        <v>118</v>
      </c>
      <c r="N462">
        <v>0</v>
      </c>
      <c r="P462" t="s">
        <v>97</v>
      </c>
      <c r="R462" t="s">
        <v>118</v>
      </c>
    </row>
    <row r="463" spans="1:18" ht="15" customHeight="1">
      <c r="A463" t="s">
        <v>1136</v>
      </c>
      <c r="B463" s="1">
        <v>46084.636273148149</v>
      </c>
      <c r="C463" t="s">
        <v>61</v>
      </c>
      <c r="D463" t="s">
        <v>9</v>
      </c>
      <c r="E463" t="s">
        <v>1</v>
      </c>
      <c r="F463" t="s">
        <v>37</v>
      </c>
      <c r="G463" t="s">
        <v>11</v>
      </c>
      <c r="H463" s="2" t="s">
        <v>1137</v>
      </c>
      <c r="I463" t="s">
        <v>202</v>
      </c>
      <c r="J463" t="s">
        <v>75</v>
      </c>
      <c r="K463" t="s">
        <v>81</v>
      </c>
      <c r="L463" t="s">
        <v>202</v>
      </c>
      <c r="N463">
        <v>0</v>
      </c>
      <c r="O463" s="1">
        <v>46086.349849537037</v>
      </c>
      <c r="P463" t="s">
        <v>82</v>
      </c>
      <c r="Q463" t="s">
        <v>69</v>
      </c>
      <c r="R463" t="s">
        <v>125</v>
      </c>
    </row>
    <row r="464" spans="1:18" ht="15" customHeight="1">
      <c r="A464" t="s">
        <v>1138</v>
      </c>
      <c r="B464" s="1">
        <v>46084.640763888892</v>
      </c>
      <c r="C464" t="s">
        <v>61</v>
      </c>
      <c r="D464" t="s">
        <v>9</v>
      </c>
      <c r="E464" t="s">
        <v>1</v>
      </c>
      <c r="F464" t="s">
        <v>36</v>
      </c>
      <c r="G464" t="s">
        <v>21</v>
      </c>
      <c r="H464" s="2" t="s">
        <v>1139</v>
      </c>
      <c r="I464" t="s">
        <v>131</v>
      </c>
      <c r="J464" t="s">
        <v>75</v>
      </c>
      <c r="K464" t="s">
        <v>81</v>
      </c>
      <c r="L464" t="s">
        <v>131</v>
      </c>
      <c r="N464">
        <v>0</v>
      </c>
      <c r="O464" s="1">
        <v>46086.427465277775</v>
      </c>
      <c r="P464" t="s">
        <v>82</v>
      </c>
      <c r="Q464" t="s">
        <v>211</v>
      </c>
      <c r="R464" t="s">
        <v>125</v>
      </c>
    </row>
    <row r="465" spans="1:18" ht="15" customHeight="1">
      <c r="A465" t="s">
        <v>1140</v>
      </c>
      <c r="B465" s="1">
        <v>46084.661608796298</v>
      </c>
      <c r="C465" t="s">
        <v>61</v>
      </c>
      <c r="D465" t="s">
        <v>9</v>
      </c>
      <c r="E465" t="s">
        <v>1</v>
      </c>
      <c r="F465" t="s">
        <v>13</v>
      </c>
      <c r="G465" t="s">
        <v>13</v>
      </c>
      <c r="H465" s="2" t="s">
        <v>1141</v>
      </c>
      <c r="I465" t="s">
        <v>1142</v>
      </c>
      <c r="J465" t="s">
        <v>96</v>
      </c>
      <c r="K465" t="s">
        <v>76</v>
      </c>
      <c r="L465" t="s">
        <v>1142</v>
      </c>
      <c r="N465">
        <v>0</v>
      </c>
      <c r="O465" s="1">
        <v>46087.324988425928</v>
      </c>
      <c r="P465" t="s">
        <v>97</v>
      </c>
      <c r="Q465" t="s">
        <v>340</v>
      </c>
      <c r="R465" t="s">
        <v>1142</v>
      </c>
    </row>
    <row r="466" spans="1:18" ht="15" customHeight="1">
      <c r="A466" t="s">
        <v>1143</v>
      </c>
      <c r="B466" s="1">
        <v>46084.706331018519</v>
      </c>
      <c r="C466" t="s">
        <v>61</v>
      </c>
      <c r="D466" t="s">
        <v>9</v>
      </c>
      <c r="E466" t="s">
        <v>1</v>
      </c>
      <c r="F466" t="s">
        <v>13</v>
      </c>
      <c r="G466" t="s">
        <v>13</v>
      </c>
      <c r="H466" s="2" t="s">
        <v>1144</v>
      </c>
      <c r="I466" t="s">
        <v>1142</v>
      </c>
      <c r="J466" t="s">
        <v>96</v>
      </c>
      <c r="K466" t="s">
        <v>76</v>
      </c>
      <c r="L466" t="s">
        <v>1142</v>
      </c>
      <c r="N466">
        <v>0</v>
      </c>
      <c r="O466" s="1">
        <v>46087.325196759259</v>
      </c>
      <c r="P466" t="s">
        <v>97</v>
      </c>
      <c r="Q466" t="s">
        <v>340</v>
      </c>
      <c r="R466" t="s">
        <v>1142</v>
      </c>
    </row>
    <row r="467" spans="1:18" ht="15" customHeight="1">
      <c r="A467" t="s">
        <v>1145</v>
      </c>
      <c r="B467" s="1">
        <v>46084.738321759258</v>
      </c>
      <c r="C467" t="s">
        <v>61</v>
      </c>
      <c r="D467" t="s">
        <v>9</v>
      </c>
      <c r="E467" t="s">
        <v>1</v>
      </c>
      <c r="F467" t="s">
        <v>37</v>
      </c>
      <c r="G467" t="s">
        <v>21</v>
      </c>
      <c r="H467" t="s">
        <v>1146</v>
      </c>
      <c r="I467" t="s">
        <v>229</v>
      </c>
      <c r="J467" t="s">
        <v>75</v>
      </c>
      <c r="K467" t="s">
        <v>81</v>
      </c>
      <c r="L467" t="s">
        <v>229</v>
      </c>
      <c r="N467">
        <v>0</v>
      </c>
      <c r="O467" s="1">
        <v>46085.627905092595</v>
      </c>
      <c r="P467" t="s">
        <v>82</v>
      </c>
      <c r="Q467" t="s">
        <v>69</v>
      </c>
      <c r="R467" t="s">
        <v>83</v>
      </c>
    </row>
    <row r="468" spans="1:18" ht="15" customHeight="1">
      <c r="A468" t="s">
        <v>1147</v>
      </c>
      <c r="B468" s="1">
        <v>46084.742615740739</v>
      </c>
      <c r="C468" t="s">
        <v>61</v>
      </c>
      <c r="D468" t="s">
        <v>9</v>
      </c>
      <c r="E468" t="s">
        <v>1</v>
      </c>
      <c r="F468" t="s">
        <v>37</v>
      </c>
      <c r="G468" t="s">
        <v>19</v>
      </c>
      <c r="H468" t="s">
        <v>1148</v>
      </c>
      <c r="I468" t="s">
        <v>202</v>
      </c>
      <c r="J468" t="s">
        <v>75</v>
      </c>
      <c r="K468" t="s">
        <v>81</v>
      </c>
      <c r="L468" t="s">
        <v>202</v>
      </c>
      <c r="N468">
        <v>0</v>
      </c>
      <c r="O468" s="1">
        <v>46092.426979166667</v>
      </c>
      <c r="P468" t="s">
        <v>97</v>
      </c>
      <c r="Q468" t="s">
        <v>98</v>
      </c>
      <c r="R468" t="s">
        <v>83</v>
      </c>
    </row>
    <row r="469" spans="1:18" ht="15" customHeight="1">
      <c r="A469" t="s">
        <v>1149</v>
      </c>
      <c r="B469" s="1">
        <v>46084.751909722225</v>
      </c>
      <c r="C469" t="s">
        <v>453</v>
      </c>
      <c r="D469" t="s">
        <v>9</v>
      </c>
      <c r="E469" t="s">
        <v>1</v>
      </c>
      <c r="F469" t="s">
        <v>26</v>
      </c>
      <c r="G469" t="s">
        <v>19</v>
      </c>
      <c r="H469" s="2" t="s">
        <v>1150</v>
      </c>
      <c r="I469" t="s">
        <v>214</v>
      </c>
      <c r="J469" t="s">
        <v>75</v>
      </c>
      <c r="K469" t="s">
        <v>81</v>
      </c>
      <c r="L469" t="s">
        <v>214</v>
      </c>
      <c r="N469">
        <v>0</v>
      </c>
      <c r="P469" t="s">
        <v>97</v>
      </c>
      <c r="Q469" t="s">
        <v>98</v>
      </c>
      <c r="R469" t="s">
        <v>83</v>
      </c>
    </row>
    <row r="470" spans="1:18" ht="15" customHeight="1">
      <c r="A470" t="s">
        <v>1151</v>
      </c>
      <c r="B470" s="1">
        <v>46085.273599537039</v>
      </c>
      <c r="C470" t="s">
        <v>61</v>
      </c>
      <c r="D470" t="s">
        <v>62</v>
      </c>
      <c r="E470" t="s">
        <v>63</v>
      </c>
      <c r="H470" t="s">
        <v>1152</v>
      </c>
      <c r="I470" t="s">
        <v>691</v>
      </c>
      <c r="J470" t="s">
        <v>66</v>
      </c>
      <c r="K470" t="s">
        <v>67</v>
      </c>
      <c r="L470" t="s">
        <v>691</v>
      </c>
      <c r="N470">
        <v>0</v>
      </c>
      <c r="O470" s="1">
        <v>46085.46166666667</v>
      </c>
      <c r="P470" t="s">
        <v>97</v>
      </c>
      <c r="Q470" t="s">
        <v>69</v>
      </c>
      <c r="R470" t="s">
        <v>691</v>
      </c>
    </row>
    <row r="471" spans="1:18" ht="15" customHeight="1">
      <c r="A471" t="s">
        <v>1153</v>
      </c>
      <c r="B471" s="1">
        <v>46085.395671296297</v>
      </c>
      <c r="C471" t="s">
        <v>61</v>
      </c>
      <c r="D471" t="s">
        <v>9</v>
      </c>
      <c r="E471" t="s">
        <v>1</v>
      </c>
      <c r="F471" t="s">
        <v>28</v>
      </c>
      <c r="G471" t="s">
        <v>10</v>
      </c>
      <c r="H471" s="2" t="s">
        <v>1154</v>
      </c>
      <c r="I471" t="s">
        <v>150</v>
      </c>
      <c r="J471" t="s">
        <v>75</v>
      </c>
      <c r="K471" t="s">
        <v>81</v>
      </c>
      <c r="L471" t="s">
        <v>150</v>
      </c>
      <c r="N471">
        <v>0</v>
      </c>
      <c r="O471" s="1">
        <v>46085.492094907408</v>
      </c>
      <c r="P471" t="s">
        <v>82</v>
      </c>
      <c r="Q471" t="s">
        <v>117</v>
      </c>
      <c r="R471" t="s">
        <v>125</v>
      </c>
    </row>
    <row r="472" spans="1:18" ht="15" customHeight="1">
      <c r="A472" t="s">
        <v>1155</v>
      </c>
      <c r="B472" s="1">
        <v>46085.584560185183</v>
      </c>
      <c r="C472" t="s">
        <v>61</v>
      </c>
      <c r="D472" t="s">
        <v>9</v>
      </c>
      <c r="E472" t="s">
        <v>1</v>
      </c>
      <c r="F472" t="s">
        <v>28</v>
      </c>
      <c r="G472" t="s">
        <v>11</v>
      </c>
      <c r="H472" s="2" t="s">
        <v>1156</v>
      </c>
      <c r="I472" t="s">
        <v>386</v>
      </c>
      <c r="J472" t="s">
        <v>75</v>
      </c>
      <c r="K472" t="s">
        <v>81</v>
      </c>
      <c r="L472" t="s">
        <v>386</v>
      </c>
      <c r="N472">
        <v>0</v>
      </c>
      <c r="O472" s="1">
        <v>46085.720671296294</v>
      </c>
      <c r="P472" t="s">
        <v>82</v>
      </c>
      <c r="Q472" t="s">
        <v>69</v>
      </c>
      <c r="R472" t="s">
        <v>125</v>
      </c>
    </row>
    <row r="473" spans="1:18" ht="15" customHeight="1">
      <c r="A473" t="s">
        <v>1157</v>
      </c>
      <c r="B473" s="1">
        <v>46085.587280092594</v>
      </c>
      <c r="C473" t="s">
        <v>61</v>
      </c>
      <c r="D473" t="s">
        <v>9</v>
      </c>
      <c r="E473" t="s">
        <v>1</v>
      </c>
      <c r="F473" t="s">
        <v>26</v>
      </c>
      <c r="G473" t="s">
        <v>19</v>
      </c>
      <c r="H473" s="2" t="s">
        <v>1158</v>
      </c>
      <c r="I473" t="s">
        <v>634</v>
      </c>
      <c r="J473" t="s">
        <v>75</v>
      </c>
      <c r="K473" t="s">
        <v>76</v>
      </c>
      <c r="L473" t="s">
        <v>634</v>
      </c>
      <c r="N473">
        <v>0</v>
      </c>
      <c r="O473" s="1">
        <v>46087.308553240742</v>
      </c>
      <c r="P473" t="s">
        <v>97</v>
      </c>
      <c r="Q473" t="s">
        <v>98</v>
      </c>
      <c r="R473" t="s">
        <v>118</v>
      </c>
    </row>
    <row r="474" spans="1:18" ht="15" customHeight="1">
      <c r="A474" t="s">
        <v>1159</v>
      </c>
      <c r="B474" s="1">
        <v>46085.714537037034</v>
      </c>
      <c r="C474" t="s">
        <v>61</v>
      </c>
      <c r="D474" t="s">
        <v>9</v>
      </c>
      <c r="E474" t="s">
        <v>1</v>
      </c>
      <c r="F474" t="s">
        <v>28</v>
      </c>
      <c r="G474" t="s">
        <v>21</v>
      </c>
      <c r="H474" s="2" t="s">
        <v>1160</v>
      </c>
      <c r="I474" t="s">
        <v>386</v>
      </c>
      <c r="J474" t="s">
        <v>75</v>
      </c>
      <c r="K474" t="s">
        <v>81</v>
      </c>
      <c r="L474" t="s">
        <v>386</v>
      </c>
      <c r="N474">
        <v>0</v>
      </c>
      <c r="O474" s="1">
        <v>46086.450891203705</v>
      </c>
      <c r="P474" t="s">
        <v>82</v>
      </c>
      <c r="Q474" t="s">
        <v>69</v>
      </c>
      <c r="R474" t="s">
        <v>125</v>
      </c>
    </row>
    <row r="475" spans="1:18" ht="15" customHeight="1">
      <c r="A475" t="s">
        <v>1161</v>
      </c>
      <c r="B475" s="1">
        <v>46086.355590277781</v>
      </c>
      <c r="C475" t="s">
        <v>165</v>
      </c>
      <c r="D475" t="s">
        <v>9</v>
      </c>
      <c r="E475" t="s">
        <v>1</v>
      </c>
      <c r="F475" t="s">
        <v>37</v>
      </c>
      <c r="G475" t="s">
        <v>19</v>
      </c>
      <c r="H475" s="2" t="s">
        <v>1162</v>
      </c>
      <c r="I475" t="s">
        <v>118</v>
      </c>
      <c r="J475" t="s">
        <v>75</v>
      </c>
      <c r="K475" t="s">
        <v>76</v>
      </c>
      <c r="L475" t="s">
        <v>118</v>
      </c>
      <c r="N475">
        <v>0</v>
      </c>
      <c r="P475" t="s">
        <v>82</v>
      </c>
      <c r="R475" t="s">
        <v>118</v>
      </c>
    </row>
    <row r="476" spans="1:18" ht="15" customHeight="1">
      <c r="A476" t="s">
        <v>1163</v>
      </c>
      <c r="B476" s="1">
        <v>46086.372025462966</v>
      </c>
      <c r="C476" t="s">
        <v>61</v>
      </c>
      <c r="D476" t="s">
        <v>9</v>
      </c>
      <c r="E476" t="s">
        <v>63</v>
      </c>
      <c r="H476" t="s">
        <v>1164</v>
      </c>
      <c r="I476" t="s">
        <v>1165</v>
      </c>
      <c r="J476" t="s">
        <v>75</v>
      </c>
      <c r="K476" t="s">
        <v>76</v>
      </c>
      <c r="L476" t="s">
        <v>1165</v>
      </c>
      <c r="N476">
        <v>1</v>
      </c>
      <c r="O476" s="1">
        <v>46086.378865740742</v>
      </c>
      <c r="Q476" t="s">
        <v>69</v>
      </c>
      <c r="R476" t="s">
        <v>780</v>
      </c>
    </row>
    <row r="477" spans="1:18" ht="15" customHeight="1">
      <c r="A477" t="s">
        <v>1166</v>
      </c>
      <c r="B477" s="1">
        <v>46086.377569444441</v>
      </c>
      <c r="C477" t="s">
        <v>61</v>
      </c>
      <c r="D477" t="s">
        <v>9</v>
      </c>
      <c r="E477" t="s">
        <v>1</v>
      </c>
      <c r="F477" t="s">
        <v>31</v>
      </c>
      <c r="G477" t="s">
        <v>11</v>
      </c>
      <c r="H477" s="2" t="s">
        <v>1167</v>
      </c>
      <c r="I477" t="s">
        <v>1168</v>
      </c>
      <c r="J477" t="s">
        <v>75</v>
      </c>
      <c r="K477" t="s">
        <v>76</v>
      </c>
      <c r="L477" t="s">
        <v>1168</v>
      </c>
      <c r="N477">
        <v>0</v>
      </c>
      <c r="O477" s="1">
        <v>46087.41033564815</v>
      </c>
      <c r="P477" t="s">
        <v>91</v>
      </c>
      <c r="Q477" t="s">
        <v>69</v>
      </c>
      <c r="R477" t="s">
        <v>77</v>
      </c>
    </row>
    <row r="478" spans="1:18" ht="15" customHeight="1">
      <c r="A478" t="s">
        <v>1169</v>
      </c>
      <c r="B478" s="1">
        <v>46086.457013888888</v>
      </c>
      <c r="C478" t="s">
        <v>61</v>
      </c>
      <c r="D478" t="s">
        <v>9</v>
      </c>
      <c r="E478" t="s">
        <v>1</v>
      </c>
      <c r="F478" t="s">
        <v>39</v>
      </c>
      <c r="G478" t="s">
        <v>11</v>
      </c>
      <c r="H478" s="2" t="s">
        <v>1170</v>
      </c>
      <c r="I478" t="s">
        <v>567</v>
      </c>
      <c r="J478" t="s">
        <v>75</v>
      </c>
      <c r="K478" t="s">
        <v>81</v>
      </c>
      <c r="L478" t="s">
        <v>567</v>
      </c>
      <c r="N478">
        <v>0</v>
      </c>
      <c r="O478" s="1">
        <v>46086.519386574073</v>
      </c>
      <c r="P478" t="s">
        <v>82</v>
      </c>
      <c r="Q478" t="s">
        <v>69</v>
      </c>
      <c r="R478" t="s">
        <v>125</v>
      </c>
    </row>
    <row r="479" spans="1:18" ht="15" customHeight="1">
      <c r="A479" t="s">
        <v>1171</v>
      </c>
      <c r="B479" s="1">
        <v>46086.504467592589</v>
      </c>
      <c r="C479" t="s">
        <v>61</v>
      </c>
      <c r="D479" t="s">
        <v>9</v>
      </c>
      <c r="E479" t="s">
        <v>1</v>
      </c>
      <c r="F479" t="s">
        <v>41</v>
      </c>
      <c r="G479" t="s">
        <v>19</v>
      </c>
      <c r="H479" s="2" t="s">
        <v>1172</v>
      </c>
      <c r="I479" t="s">
        <v>118</v>
      </c>
      <c r="J479" t="s">
        <v>75</v>
      </c>
      <c r="K479" t="s">
        <v>76</v>
      </c>
      <c r="L479" t="s">
        <v>118</v>
      </c>
      <c r="N479">
        <v>0</v>
      </c>
      <c r="O479" s="1">
        <v>46100.313877314817</v>
      </c>
      <c r="P479" t="s">
        <v>97</v>
      </c>
      <c r="Q479" t="s">
        <v>98</v>
      </c>
      <c r="R479" t="s">
        <v>118</v>
      </c>
    </row>
    <row r="480" spans="1:18" ht="15" customHeight="1">
      <c r="A480" t="s">
        <v>1173</v>
      </c>
      <c r="B480" s="1">
        <v>46086.514108796298</v>
      </c>
      <c r="C480" t="s">
        <v>61</v>
      </c>
      <c r="D480" t="s">
        <v>9</v>
      </c>
      <c r="E480" t="s">
        <v>63</v>
      </c>
      <c r="H480" t="s">
        <v>1174</v>
      </c>
      <c r="I480" t="s">
        <v>1165</v>
      </c>
      <c r="J480" t="s">
        <v>75</v>
      </c>
      <c r="K480" t="s">
        <v>76</v>
      </c>
      <c r="L480" t="s">
        <v>1165</v>
      </c>
      <c r="N480">
        <v>0</v>
      </c>
      <c r="O480" s="1">
        <v>46086.587152777778</v>
      </c>
      <c r="P480" t="s">
        <v>91</v>
      </c>
      <c r="Q480" t="s">
        <v>147</v>
      </c>
      <c r="R480" t="s">
        <v>780</v>
      </c>
    </row>
    <row r="481" spans="1:18" ht="15" customHeight="1">
      <c r="A481" t="s">
        <v>1175</v>
      </c>
      <c r="B481" s="1">
        <v>46086.542662037034</v>
      </c>
      <c r="C481" t="s">
        <v>61</v>
      </c>
      <c r="D481" t="s">
        <v>9</v>
      </c>
      <c r="E481" t="s">
        <v>63</v>
      </c>
      <c r="H481" t="s">
        <v>1176</v>
      </c>
      <c r="I481" t="s">
        <v>140</v>
      </c>
      <c r="J481" t="s">
        <v>75</v>
      </c>
      <c r="K481" t="s">
        <v>76</v>
      </c>
      <c r="L481" t="s">
        <v>140</v>
      </c>
      <c r="N481">
        <v>1</v>
      </c>
      <c r="O481" s="1">
        <v>46086.543923611112</v>
      </c>
      <c r="Q481" t="s">
        <v>69</v>
      </c>
      <c r="R481" t="s">
        <v>354</v>
      </c>
    </row>
    <row r="482" spans="1:18" ht="15" customHeight="1">
      <c r="A482" t="s">
        <v>1177</v>
      </c>
      <c r="B482" s="1">
        <v>46086.670798611114</v>
      </c>
      <c r="C482" t="s">
        <v>61</v>
      </c>
      <c r="D482" t="s">
        <v>9</v>
      </c>
      <c r="E482" t="s">
        <v>1</v>
      </c>
      <c r="F482" t="s">
        <v>37</v>
      </c>
      <c r="G482" t="s">
        <v>14</v>
      </c>
      <c r="H482" s="2" t="s">
        <v>1178</v>
      </c>
      <c r="I482" t="s">
        <v>202</v>
      </c>
      <c r="J482" t="s">
        <v>75</v>
      </c>
      <c r="K482" t="s">
        <v>81</v>
      </c>
      <c r="L482" t="s">
        <v>202</v>
      </c>
      <c r="N482">
        <v>0</v>
      </c>
      <c r="O482" s="1">
        <v>46092.591747685183</v>
      </c>
      <c r="P482" t="s">
        <v>82</v>
      </c>
      <c r="Q482" t="s">
        <v>117</v>
      </c>
      <c r="R482" t="s">
        <v>125</v>
      </c>
    </row>
    <row r="483" spans="1:18" ht="15" customHeight="1">
      <c r="A483" t="s">
        <v>1179</v>
      </c>
      <c r="B483" s="1">
        <v>46086.681886574072</v>
      </c>
      <c r="C483" t="s">
        <v>61</v>
      </c>
      <c r="D483" t="s">
        <v>9</v>
      </c>
      <c r="E483" t="s">
        <v>63</v>
      </c>
      <c r="H483" s="2" t="s">
        <v>640</v>
      </c>
      <c r="I483" t="s">
        <v>1165</v>
      </c>
      <c r="J483" t="s">
        <v>75</v>
      </c>
      <c r="K483" t="s">
        <v>76</v>
      </c>
      <c r="L483" t="s">
        <v>1165</v>
      </c>
      <c r="N483">
        <v>1</v>
      </c>
      <c r="O483" s="1">
        <v>46086.683946759258</v>
      </c>
      <c r="Q483" t="s">
        <v>176</v>
      </c>
      <c r="R483" t="s">
        <v>125</v>
      </c>
    </row>
    <row r="484" spans="1:18" ht="15" customHeight="1">
      <c r="A484" t="s">
        <v>1180</v>
      </c>
      <c r="B484" s="1">
        <v>46086.769571759258</v>
      </c>
      <c r="C484" t="s">
        <v>165</v>
      </c>
      <c r="D484" t="s">
        <v>9</v>
      </c>
      <c r="E484" t="s">
        <v>1</v>
      </c>
      <c r="F484" t="s">
        <v>35</v>
      </c>
      <c r="G484" t="s">
        <v>11</v>
      </c>
      <c r="H484" s="2" t="s">
        <v>1181</v>
      </c>
      <c r="I484" t="s">
        <v>232</v>
      </c>
      <c r="J484" t="s">
        <v>75</v>
      </c>
      <c r="K484" t="s">
        <v>76</v>
      </c>
      <c r="L484" t="s">
        <v>232</v>
      </c>
      <c r="N484">
        <v>0</v>
      </c>
      <c r="P484" t="s">
        <v>82</v>
      </c>
      <c r="R484" t="s">
        <v>589</v>
      </c>
    </row>
    <row r="485" spans="1:18" ht="15" customHeight="1">
      <c r="A485" t="s">
        <v>1182</v>
      </c>
      <c r="B485" s="1">
        <v>46086.777337962965</v>
      </c>
      <c r="C485" t="s">
        <v>61</v>
      </c>
      <c r="D485" t="s">
        <v>9</v>
      </c>
      <c r="E485" t="s">
        <v>63</v>
      </c>
      <c r="H485" s="2" t="s">
        <v>1183</v>
      </c>
      <c r="I485" t="s">
        <v>1184</v>
      </c>
      <c r="J485" t="s">
        <v>75</v>
      </c>
      <c r="K485" t="s">
        <v>81</v>
      </c>
      <c r="L485" t="s">
        <v>1184</v>
      </c>
      <c r="N485">
        <v>1</v>
      </c>
      <c r="O485" s="1">
        <v>46086.779178240744</v>
      </c>
      <c r="Q485" t="s">
        <v>69</v>
      </c>
      <c r="R485" t="s">
        <v>589</v>
      </c>
    </row>
    <row r="486" spans="1:18" ht="15" customHeight="1">
      <c r="A486" t="s">
        <v>1185</v>
      </c>
      <c r="B486" s="1">
        <v>46087.271145833336</v>
      </c>
      <c r="C486" t="s">
        <v>61</v>
      </c>
      <c r="D486" t="s">
        <v>327</v>
      </c>
      <c r="E486" t="s">
        <v>63</v>
      </c>
      <c r="H486" t="s">
        <v>1186</v>
      </c>
      <c r="I486" t="s">
        <v>403</v>
      </c>
      <c r="J486" t="s">
        <v>66</v>
      </c>
      <c r="K486" t="s">
        <v>67</v>
      </c>
      <c r="L486" t="s">
        <v>403</v>
      </c>
      <c r="N486">
        <v>0</v>
      </c>
      <c r="O486" s="1">
        <v>46087.421030092592</v>
      </c>
      <c r="P486" t="s">
        <v>330</v>
      </c>
      <c r="Q486" t="s">
        <v>331</v>
      </c>
      <c r="R486" t="s">
        <v>403</v>
      </c>
    </row>
    <row r="487" spans="1:18" ht="15" customHeight="1">
      <c r="A487" t="s">
        <v>1187</v>
      </c>
      <c r="B487" s="1">
        <v>46087.46402777778</v>
      </c>
      <c r="C487" t="s">
        <v>61</v>
      </c>
      <c r="D487" t="s">
        <v>9</v>
      </c>
      <c r="E487" t="s">
        <v>63</v>
      </c>
      <c r="H487" s="2" t="s">
        <v>174</v>
      </c>
      <c r="I487" t="s">
        <v>121</v>
      </c>
      <c r="J487" t="s">
        <v>75</v>
      </c>
      <c r="K487" t="s">
        <v>76</v>
      </c>
      <c r="L487" t="s">
        <v>121</v>
      </c>
      <c r="N487">
        <v>1</v>
      </c>
      <c r="O487" s="1">
        <v>46087.464918981481</v>
      </c>
      <c r="Q487" t="s">
        <v>176</v>
      </c>
      <c r="R487" t="s">
        <v>125</v>
      </c>
    </row>
    <row r="488" spans="1:18" ht="15" customHeight="1">
      <c r="A488" t="s">
        <v>1188</v>
      </c>
      <c r="B488" s="1">
        <v>46087.464548611111</v>
      </c>
      <c r="C488" t="s">
        <v>61</v>
      </c>
      <c r="D488" t="s">
        <v>9</v>
      </c>
      <c r="E488" t="s">
        <v>63</v>
      </c>
      <c r="H488" s="2" t="s">
        <v>1189</v>
      </c>
      <c r="I488" t="s">
        <v>118</v>
      </c>
      <c r="J488" t="s">
        <v>75</v>
      </c>
      <c r="K488" t="s">
        <v>76</v>
      </c>
      <c r="L488" t="s">
        <v>118</v>
      </c>
      <c r="N488">
        <v>0</v>
      </c>
      <c r="O488" s="1">
        <v>46087.472638888888</v>
      </c>
      <c r="P488" t="s">
        <v>91</v>
      </c>
      <c r="Q488" t="s">
        <v>147</v>
      </c>
      <c r="R488" t="s">
        <v>77</v>
      </c>
    </row>
    <row r="489" spans="1:18" ht="15" customHeight="1">
      <c r="A489" t="s">
        <v>1190</v>
      </c>
      <c r="B489" s="1">
        <v>46087.606944444444</v>
      </c>
      <c r="C489" t="s">
        <v>61</v>
      </c>
      <c r="D489" t="s">
        <v>9</v>
      </c>
      <c r="E489" t="s">
        <v>63</v>
      </c>
      <c r="H489" t="s">
        <v>1191</v>
      </c>
      <c r="I489" t="s">
        <v>1192</v>
      </c>
      <c r="J489" t="s">
        <v>75</v>
      </c>
      <c r="K489" t="s">
        <v>76</v>
      </c>
      <c r="L489" t="s">
        <v>1192</v>
      </c>
      <c r="N489">
        <v>1</v>
      </c>
      <c r="O489" s="1">
        <v>46087.652187500003</v>
      </c>
      <c r="Q489" t="s">
        <v>69</v>
      </c>
      <c r="R489" t="s">
        <v>83</v>
      </c>
    </row>
    <row r="490" spans="1:18" ht="15" customHeight="1">
      <c r="A490" t="s">
        <v>1193</v>
      </c>
      <c r="B490" s="1">
        <v>46087.650011574071</v>
      </c>
      <c r="C490" t="s">
        <v>94</v>
      </c>
      <c r="D490" t="s">
        <v>9</v>
      </c>
      <c r="E490" t="s">
        <v>1</v>
      </c>
      <c r="F490" t="s">
        <v>41</v>
      </c>
      <c r="G490" t="s">
        <v>19</v>
      </c>
      <c r="H490" s="2" t="s">
        <v>1194</v>
      </c>
      <c r="I490" t="s">
        <v>118</v>
      </c>
      <c r="J490" t="s">
        <v>96</v>
      </c>
      <c r="K490" t="s">
        <v>76</v>
      </c>
      <c r="L490" t="s">
        <v>118</v>
      </c>
      <c r="N490">
        <v>0</v>
      </c>
      <c r="P490" t="s">
        <v>97</v>
      </c>
      <c r="Q490" t="s">
        <v>98</v>
      </c>
      <c r="R490" t="s">
        <v>118</v>
      </c>
    </row>
    <row r="491" spans="1:18" ht="15" customHeight="1">
      <c r="A491" t="s">
        <v>1195</v>
      </c>
      <c r="B491" s="1">
        <v>46087.655590277776</v>
      </c>
      <c r="C491" t="s">
        <v>294</v>
      </c>
      <c r="D491" t="s">
        <v>9</v>
      </c>
      <c r="E491" t="s">
        <v>1</v>
      </c>
      <c r="F491" t="s">
        <v>27</v>
      </c>
      <c r="G491" t="s">
        <v>14</v>
      </c>
      <c r="H491" s="2" t="s">
        <v>1196</v>
      </c>
      <c r="I491" t="s">
        <v>917</v>
      </c>
      <c r="J491" t="s">
        <v>75</v>
      </c>
      <c r="K491" t="s">
        <v>81</v>
      </c>
      <c r="L491" t="s">
        <v>917</v>
      </c>
      <c r="N491">
        <v>0</v>
      </c>
      <c r="P491" t="s">
        <v>97</v>
      </c>
      <c r="Q491" t="s">
        <v>69</v>
      </c>
      <c r="R491" t="s">
        <v>77</v>
      </c>
    </row>
    <row r="492" spans="1:18" ht="15" customHeight="1">
      <c r="A492" t="s">
        <v>1197</v>
      </c>
      <c r="B492" s="1">
        <v>46087.725694444445</v>
      </c>
      <c r="C492" t="s">
        <v>165</v>
      </c>
      <c r="D492" t="s">
        <v>9</v>
      </c>
      <c r="E492" t="s">
        <v>1</v>
      </c>
      <c r="F492" t="s">
        <v>37</v>
      </c>
      <c r="G492" t="s">
        <v>11</v>
      </c>
      <c r="H492" s="2" t="s">
        <v>1198</v>
      </c>
      <c r="I492" t="s">
        <v>229</v>
      </c>
      <c r="J492" t="s">
        <v>75</v>
      </c>
      <c r="K492" t="s">
        <v>81</v>
      </c>
      <c r="L492" t="s">
        <v>229</v>
      </c>
      <c r="N492">
        <v>0</v>
      </c>
      <c r="P492" t="s">
        <v>82</v>
      </c>
      <c r="R492" t="s">
        <v>77</v>
      </c>
    </row>
    <row r="493" spans="1:18" ht="15" customHeight="1">
      <c r="A493" t="s">
        <v>1199</v>
      </c>
      <c r="B493" s="1">
        <v>46087.781643518516</v>
      </c>
      <c r="C493" t="s">
        <v>61</v>
      </c>
      <c r="D493" t="s">
        <v>9</v>
      </c>
      <c r="E493" t="s">
        <v>1</v>
      </c>
      <c r="F493" t="s">
        <v>40</v>
      </c>
      <c r="G493" t="s">
        <v>11</v>
      </c>
      <c r="H493" s="2" t="s">
        <v>1200</v>
      </c>
      <c r="I493" t="s">
        <v>821</v>
      </c>
      <c r="J493" t="s">
        <v>75</v>
      </c>
      <c r="K493" t="s">
        <v>81</v>
      </c>
      <c r="L493" t="s">
        <v>821</v>
      </c>
      <c r="N493">
        <v>0</v>
      </c>
      <c r="O493" s="1">
        <v>46106.303680555553</v>
      </c>
      <c r="P493" t="s">
        <v>97</v>
      </c>
      <c r="Q493" t="s">
        <v>117</v>
      </c>
      <c r="R493" t="s">
        <v>354</v>
      </c>
    </row>
    <row r="494" spans="1:18" ht="15" customHeight="1">
      <c r="A494" t="s">
        <v>1201</v>
      </c>
      <c r="B494" s="1">
        <v>46090.409375000003</v>
      </c>
      <c r="C494" t="s">
        <v>294</v>
      </c>
      <c r="D494" t="s">
        <v>9</v>
      </c>
      <c r="E494" t="s">
        <v>1</v>
      </c>
      <c r="F494" t="s">
        <v>41</v>
      </c>
      <c r="G494" t="s">
        <v>12</v>
      </c>
      <c r="H494" s="2" t="s">
        <v>1202</v>
      </c>
      <c r="I494" t="s">
        <v>210</v>
      </c>
      <c r="J494" t="s">
        <v>75</v>
      </c>
      <c r="K494" t="s">
        <v>76</v>
      </c>
      <c r="L494" t="s">
        <v>210</v>
      </c>
      <c r="N494">
        <v>0</v>
      </c>
      <c r="P494" t="s">
        <v>97</v>
      </c>
      <c r="Q494" t="s">
        <v>98</v>
      </c>
      <c r="R494" t="s">
        <v>210</v>
      </c>
    </row>
    <row r="495" spans="1:18" ht="15" customHeight="1">
      <c r="A495" t="s">
        <v>1203</v>
      </c>
      <c r="B495" s="1">
        <v>46090.421446759261</v>
      </c>
      <c r="C495" t="s">
        <v>61</v>
      </c>
      <c r="D495" t="s">
        <v>9</v>
      </c>
      <c r="E495" t="s">
        <v>63</v>
      </c>
      <c r="H495" s="2" t="s">
        <v>1204</v>
      </c>
      <c r="I495" t="s">
        <v>269</v>
      </c>
      <c r="J495" t="s">
        <v>75</v>
      </c>
      <c r="K495" t="s">
        <v>76</v>
      </c>
      <c r="L495" t="s">
        <v>269</v>
      </c>
      <c r="N495">
        <v>0</v>
      </c>
      <c r="O495" s="1">
        <v>46090.461967592593</v>
      </c>
      <c r="P495" t="s">
        <v>91</v>
      </c>
      <c r="Q495" t="s">
        <v>147</v>
      </c>
      <c r="R495" t="s">
        <v>77</v>
      </c>
    </row>
    <row r="496" spans="1:18" ht="15" customHeight="1">
      <c r="A496" t="s">
        <v>1205</v>
      </c>
      <c r="B496" s="1">
        <v>46090.492627314816</v>
      </c>
      <c r="C496" t="s">
        <v>61</v>
      </c>
      <c r="D496" t="s">
        <v>9</v>
      </c>
      <c r="E496" t="s">
        <v>1</v>
      </c>
      <c r="F496" t="s">
        <v>36</v>
      </c>
      <c r="G496" t="s">
        <v>11</v>
      </c>
      <c r="H496" t="s">
        <v>1206</v>
      </c>
      <c r="I496" t="s">
        <v>131</v>
      </c>
      <c r="J496" t="s">
        <v>75</v>
      </c>
      <c r="K496" t="s">
        <v>81</v>
      </c>
      <c r="L496" t="s">
        <v>131</v>
      </c>
      <c r="N496">
        <v>0</v>
      </c>
      <c r="O496" s="1">
        <v>46090.633761574078</v>
      </c>
      <c r="P496" t="s">
        <v>82</v>
      </c>
      <c r="Q496" t="s">
        <v>69</v>
      </c>
      <c r="R496" t="s">
        <v>83</v>
      </c>
    </row>
    <row r="497" spans="1:18" ht="15" customHeight="1">
      <c r="A497" t="s">
        <v>1207</v>
      </c>
      <c r="B497" s="1">
        <v>46090.499884259261</v>
      </c>
      <c r="C497" t="s">
        <v>61</v>
      </c>
      <c r="D497" t="s">
        <v>9</v>
      </c>
      <c r="E497" t="s">
        <v>63</v>
      </c>
      <c r="H497" t="s">
        <v>1208</v>
      </c>
      <c r="I497" t="s">
        <v>210</v>
      </c>
      <c r="J497" t="s">
        <v>75</v>
      </c>
      <c r="K497" t="s">
        <v>76</v>
      </c>
      <c r="L497" t="s">
        <v>210</v>
      </c>
      <c r="N497">
        <v>0</v>
      </c>
      <c r="O497" s="1">
        <v>46090.642708333333</v>
      </c>
      <c r="P497" t="s">
        <v>784</v>
      </c>
      <c r="Q497" t="s">
        <v>263</v>
      </c>
      <c r="R497" t="s">
        <v>780</v>
      </c>
    </row>
    <row r="498" spans="1:18" ht="15" customHeight="1">
      <c r="A498" t="s">
        <v>1209</v>
      </c>
      <c r="B498" s="1">
        <v>46090.589629629627</v>
      </c>
      <c r="C498" t="s">
        <v>61</v>
      </c>
      <c r="D498" t="s">
        <v>9</v>
      </c>
      <c r="E498" t="s">
        <v>63</v>
      </c>
      <c r="H498" t="s">
        <v>1210</v>
      </c>
      <c r="I498" t="s">
        <v>562</v>
      </c>
      <c r="J498" t="s">
        <v>75</v>
      </c>
      <c r="K498" t="s">
        <v>76</v>
      </c>
      <c r="L498" t="s">
        <v>562</v>
      </c>
      <c r="N498">
        <v>1</v>
      </c>
      <c r="O498" s="1">
        <v>46090.59988425926</v>
      </c>
      <c r="Q498" t="s">
        <v>69</v>
      </c>
      <c r="R498" t="s">
        <v>780</v>
      </c>
    </row>
    <row r="499" spans="1:18" ht="15" customHeight="1">
      <c r="A499" t="s">
        <v>1211</v>
      </c>
      <c r="B499" s="1">
        <v>46090.666377314818</v>
      </c>
      <c r="C499" t="s">
        <v>165</v>
      </c>
      <c r="D499" t="s">
        <v>9</v>
      </c>
      <c r="E499" t="s">
        <v>1</v>
      </c>
      <c r="F499" t="s">
        <v>27</v>
      </c>
      <c r="G499" t="s">
        <v>11</v>
      </c>
      <c r="H499" s="2" t="s">
        <v>1212</v>
      </c>
      <c r="I499" t="s">
        <v>90</v>
      </c>
      <c r="J499" t="s">
        <v>75</v>
      </c>
      <c r="K499" t="s">
        <v>81</v>
      </c>
      <c r="L499" t="s">
        <v>90</v>
      </c>
      <c r="N499">
        <v>0</v>
      </c>
      <c r="P499" t="s">
        <v>82</v>
      </c>
      <c r="R499" t="s">
        <v>77</v>
      </c>
    </row>
    <row r="500" spans="1:18" ht="15" customHeight="1">
      <c r="A500" t="s">
        <v>1213</v>
      </c>
      <c r="B500" s="1">
        <v>46090.692303240743</v>
      </c>
      <c r="C500" t="s">
        <v>61</v>
      </c>
      <c r="D500" t="s">
        <v>9</v>
      </c>
      <c r="E500" t="s">
        <v>1</v>
      </c>
      <c r="F500" t="s">
        <v>27</v>
      </c>
      <c r="G500" t="s">
        <v>14</v>
      </c>
      <c r="H500" s="2" t="s">
        <v>1214</v>
      </c>
      <c r="I500" t="s">
        <v>895</v>
      </c>
      <c r="J500" t="s">
        <v>75</v>
      </c>
      <c r="K500" t="s">
        <v>76</v>
      </c>
      <c r="L500" t="s">
        <v>895</v>
      </c>
      <c r="N500">
        <v>0</v>
      </c>
      <c r="O500" s="1">
        <v>46106.306863425925</v>
      </c>
      <c r="P500" t="s">
        <v>97</v>
      </c>
      <c r="Q500" t="s">
        <v>69</v>
      </c>
      <c r="R500" t="s">
        <v>125</v>
      </c>
    </row>
    <row r="501" spans="1:18" ht="15" customHeight="1">
      <c r="A501" t="s">
        <v>1215</v>
      </c>
      <c r="B501" s="1">
        <v>46090.728703703702</v>
      </c>
      <c r="C501" t="s">
        <v>61</v>
      </c>
      <c r="D501" t="s">
        <v>9</v>
      </c>
      <c r="E501" t="s">
        <v>1</v>
      </c>
      <c r="F501" t="s">
        <v>37</v>
      </c>
      <c r="G501" t="s">
        <v>21</v>
      </c>
      <c r="H501" t="s">
        <v>1216</v>
      </c>
      <c r="I501" t="s">
        <v>229</v>
      </c>
      <c r="J501" t="s">
        <v>75</v>
      </c>
      <c r="K501" t="s">
        <v>81</v>
      </c>
      <c r="L501" t="s">
        <v>229</v>
      </c>
      <c r="N501">
        <v>0</v>
      </c>
      <c r="O501" s="1">
        <v>46092.432743055557</v>
      </c>
      <c r="P501" t="s">
        <v>82</v>
      </c>
      <c r="Q501" t="s">
        <v>69</v>
      </c>
      <c r="R501" t="s">
        <v>83</v>
      </c>
    </row>
    <row r="502" spans="1:18" ht="15" customHeight="1">
      <c r="A502" t="s">
        <v>1217</v>
      </c>
      <c r="B502" s="1">
        <v>46091.273101851853</v>
      </c>
      <c r="C502" t="s">
        <v>61</v>
      </c>
      <c r="D502" t="s">
        <v>1218</v>
      </c>
      <c r="E502" t="s">
        <v>63</v>
      </c>
      <c r="H502" t="s">
        <v>1219</v>
      </c>
      <c r="I502" t="s">
        <v>497</v>
      </c>
      <c r="J502" t="s">
        <v>66</v>
      </c>
      <c r="K502" t="s">
        <v>76</v>
      </c>
      <c r="L502" t="s">
        <v>497</v>
      </c>
      <c r="N502">
        <v>0</v>
      </c>
      <c r="O502" s="1">
        <v>46091.447199074071</v>
      </c>
      <c r="P502" t="s">
        <v>97</v>
      </c>
      <c r="Q502" t="s">
        <v>69</v>
      </c>
      <c r="R502" t="s">
        <v>497</v>
      </c>
    </row>
    <row r="503" spans="1:18" ht="15" customHeight="1">
      <c r="A503" t="s">
        <v>1220</v>
      </c>
      <c r="B503" s="1">
        <v>46091.406666666669</v>
      </c>
      <c r="C503" t="s">
        <v>61</v>
      </c>
      <c r="D503" t="s">
        <v>9</v>
      </c>
      <c r="E503" t="s">
        <v>1</v>
      </c>
      <c r="F503" t="s">
        <v>29</v>
      </c>
      <c r="G503" t="s">
        <v>21</v>
      </c>
      <c r="H503" s="2" t="s">
        <v>1221</v>
      </c>
      <c r="I503" t="s">
        <v>389</v>
      </c>
      <c r="J503" t="s">
        <v>75</v>
      </c>
      <c r="K503" t="s">
        <v>81</v>
      </c>
      <c r="L503" t="s">
        <v>389</v>
      </c>
      <c r="N503">
        <v>0</v>
      </c>
      <c r="O503" s="1">
        <v>46091.610590277778</v>
      </c>
      <c r="P503" t="s">
        <v>82</v>
      </c>
      <c r="Q503" t="s">
        <v>69</v>
      </c>
      <c r="R503" t="s">
        <v>155</v>
      </c>
    </row>
    <row r="504" spans="1:18" ht="15" customHeight="1">
      <c r="A504" t="s">
        <v>1222</v>
      </c>
      <c r="B504" s="1">
        <v>46091.407037037039</v>
      </c>
      <c r="C504" t="s">
        <v>61</v>
      </c>
      <c r="D504" t="s">
        <v>9</v>
      </c>
      <c r="E504" t="s">
        <v>1</v>
      </c>
      <c r="F504" t="s">
        <v>36</v>
      </c>
      <c r="G504" t="s">
        <v>11</v>
      </c>
      <c r="H504" s="2" t="s">
        <v>1223</v>
      </c>
      <c r="I504" t="s">
        <v>131</v>
      </c>
      <c r="J504" t="s">
        <v>75</v>
      </c>
      <c r="K504" t="s">
        <v>81</v>
      </c>
      <c r="L504" t="s">
        <v>131</v>
      </c>
      <c r="N504">
        <v>0</v>
      </c>
      <c r="O504" s="1">
        <v>46091.657847222225</v>
      </c>
      <c r="P504" t="s">
        <v>82</v>
      </c>
      <c r="Q504" t="s">
        <v>117</v>
      </c>
      <c r="R504" t="s">
        <v>151</v>
      </c>
    </row>
    <row r="505" spans="1:18" ht="15" customHeight="1">
      <c r="A505" t="s">
        <v>1224</v>
      </c>
      <c r="B505" s="1">
        <v>46091.407766203702</v>
      </c>
      <c r="C505" t="s">
        <v>61</v>
      </c>
      <c r="D505" t="s">
        <v>9</v>
      </c>
      <c r="E505" t="s">
        <v>1</v>
      </c>
      <c r="F505" t="s">
        <v>29</v>
      </c>
      <c r="G505" t="s">
        <v>21</v>
      </c>
      <c r="H505" s="2" t="s">
        <v>1225</v>
      </c>
      <c r="I505" t="s">
        <v>389</v>
      </c>
      <c r="J505" t="s">
        <v>75</v>
      </c>
      <c r="K505" t="s">
        <v>81</v>
      </c>
      <c r="L505" t="s">
        <v>389</v>
      </c>
      <c r="N505">
        <v>0</v>
      </c>
      <c r="O505" s="1">
        <v>46091.610185185185</v>
      </c>
      <c r="P505" t="s">
        <v>82</v>
      </c>
      <c r="Q505" t="s">
        <v>69</v>
      </c>
      <c r="R505" t="s">
        <v>155</v>
      </c>
    </row>
    <row r="506" spans="1:18" ht="15" customHeight="1">
      <c r="A506" t="s">
        <v>1226</v>
      </c>
      <c r="B506" s="1">
        <v>46091.420972222222</v>
      </c>
      <c r="C506" t="s">
        <v>61</v>
      </c>
      <c r="D506" t="s">
        <v>9</v>
      </c>
      <c r="E506" t="s">
        <v>63</v>
      </c>
      <c r="H506" t="s">
        <v>171</v>
      </c>
      <c r="I506" t="s">
        <v>444</v>
      </c>
      <c r="J506" t="s">
        <v>75</v>
      </c>
      <c r="K506" t="s">
        <v>76</v>
      </c>
      <c r="L506" t="s">
        <v>444</v>
      </c>
      <c r="N506">
        <v>1</v>
      </c>
      <c r="O506" s="1">
        <v>46091.421574074076</v>
      </c>
      <c r="Q506" t="s">
        <v>69</v>
      </c>
      <c r="R506" t="s">
        <v>83</v>
      </c>
    </row>
    <row r="507" spans="1:18" ht="15" customHeight="1">
      <c r="A507" t="s">
        <v>1227</v>
      </c>
      <c r="B507" s="1">
        <v>46091.445127314815</v>
      </c>
      <c r="C507" t="s">
        <v>61</v>
      </c>
      <c r="D507" t="s">
        <v>9</v>
      </c>
      <c r="E507" t="s">
        <v>1</v>
      </c>
      <c r="F507" t="s">
        <v>31</v>
      </c>
      <c r="G507" t="s">
        <v>11</v>
      </c>
      <c r="H507" t="s">
        <v>1228</v>
      </c>
      <c r="I507" t="s">
        <v>1229</v>
      </c>
      <c r="J507" t="s">
        <v>75</v>
      </c>
      <c r="K507" t="s">
        <v>76</v>
      </c>
      <c r="L507" t="s">
        <v>1229</v>
      </c>
      <c r="N507">
        <v>1</v>
      </c>
      <c r="O507" s="1">
        <v>46091.448703703703</v>
      </c>
      <c r="Q507" t="s">
        <v>69</v>
      </c>
      <c r="R507" t="s">
        <v>354</v>
      </c>
    </row>
    <row r="508" spans="1:18" ht="15" customHeight="1">
      <c r="A508" t="s">
        <v>1230</v>
      </c>
      <c r="B508" s="1">
        <v>46091.459976851853</v>
      </c>
      <c r="C508" t="s">
        <v>61</v>
      </c>
      <c r="D508" t="s">
        <v>9</v>
      </c>
      <c r="E508" t="s">
        <v>63</v>
      </c>
      <c r="H508" t="s">
        <v>171</v>
      </c>
      <c r="I508" t="s">
        <v>444</v>
      </c>
      <c r="J508" t="s">
        <v>75</v>
      </c>
      <c r="K508" t="s">
        <v>76</v>
      </c>
      <c r="L508" t="s">
        <v>444</v>
      </c>
      <c r="N508">
        <v>1</v>
      </c>
      <c r="O508" s="1">
        <v>46091.460196759261</v>
      </c>
      <c r="Q508" t="s">
        <v>69</v>
      </c>
      <c r="R508" t="s">
        <v>83</v>
      </c>
    </row>
    <row r="509" spans="1:18" ht="15" customHeight="1">
      <c r="A509" t="s">
        <v>1231</v>
      </c>
      <c r="B509" s="1">
        <v>46091.620381944442</v>
      </c>
      <c r="C509" t="s">
        <v>61</v>
      </c>
      <c r="D509" t="s">
        <v>9</v>
      </c>
      <c r="E509" t="s">
        <v>63</v>
      </c>
      <c r="H509" s="2" t="s">
        <v>1232</v>
      </c>
      <c r="I509" t="s">
        <v>1233</v>
      </c>
      <c r="J509" t="s">
        <v>75</v>
      </c>
      <c r="K509" t="s">
        <v>76</v>
      </c>
      <c r="L509" t="s">
        <v>1233</v>
      </c>
      <c r="N509">
        <v>1</v>
      </c>
      <c r="O509" s="1">
        <v>46091.625219907408</v>
      </c>
      <c r="Q509" t="s">
        <v>69</v>
      </c>
      <c r="R509" t="s">
        <v>77</v>
      </c>
    </row>
    <row r="510" spans="1:18" ht="15" customHeight="1">
      <c r="A510" t="s">
        <v>1234</v>
      </c>
      <c r="B510" s="1">
        <v>46091.646307870367</v>
      </c>
      <c r="C510" t="s">
        <v>61</v>
      </c>
      <c r="D510" t="s">
        <v>9</v>
      </c>
      <c r="E510" t="s">
        <v>1</v>
      </c>
      <c r="F510" t="s">
        <v>36</v>
      </c>
      <c r="G510" t="s">
        <v>21</v>
      </c>
      <c r="H510" s="2" t="s">
        <v>1235</v>
      </c>
      <c r="I510" t="s">
        <v>131</v>
      </c>
      <c r="J510" t="s">
        <v>75</v>
      </c>
      <c r="K510" t="s">
        <v>81</v>
      </c>
      <c r="L510" t="s">
        <v>131</v>
      </c>
      <c r="N510">
        <v>0</v>
      </c>
      <c r="O510" s="1">
        <v>46091.703067129631</v>
      </c>
      <c r="P510" t="s">
        <v>82</v>
      </c>
      <c r="Q510" t="s">
        <v>69</v>
      </c>
      <c r="R510" t="s">
        <v>151</v>
      </c>
    </row>
    <row r="511" spans="1:18" ht="15" customHeight="1">
      <c r="A511" t="s">
        <v>1236</v>
      </c>
      <c r="B511" s="1">
        <v>46091.70511574074</v>
      </c>
      <c r="C511" t="s">
        <v>61</v>
      </c>
      <c r="D511" t="s">
        <v>9</v>
      </c>
      <c r="E511" t="s">
        <v>1</v>
      </c>
      <c r="F511" t="s">
        <v>37</v>
      </c>
      <c r="G511" t="s">
        <v>11</v>
      </c>
      <c r="H511" s="2" t="s">
        <v>1237</v>
      </c>
      <c r="I511" t="s">
        <v>101</v>
      </c>
      <c r="J511" t="s">
        <v>75</v>
      </c>
      <c r="K511" t="s">
        <v>81</v>
      </c>
      <c r="L511" t="s">
        <v>101</v>
      </c>
      <c r="N511">
        <v>0</v>
      </c>
      <c r="O511" s="1">
        <v>46091.736712962964</v>
      </c>
      <c r="P511" t="s">
        <v>82</v>
      </c>
      <c r="Q511" t="s">
        <v>340</v>
      </c>
      <c r="R511" t="s">
        <v>77</v>
      </c>
    </row>
    <row r="512" spans="1:18" ht="15" customHeight="1">
      <c r="A512" t="s">
        <v>1238</v>
      </c>
      <c r="B512" s="1">
        <v>46091.713125000002</v>
      </c>
      <c r="C512" t="s">
        <v>61</v>
      </c>
      <c r="D512" t="s">
        <v>9</v>
      </c>
      <c r="E512" t="s">
        <v>1</v>
      </c>
      <c r="F512" t="s">
        <v>37</v>
      </c>
      <c r="G512" t="s">
        <v>11</v>
      </c>
      <c r="H512" s="2" t="s">
        <v>1239</v>
      </c>
      <c r="I512" t="s">
        <v>101</v>
      </c>
      <c r="J512" t="s">
        <v>75</v>
      </c>
      <c r="K512" t="s">
        <v>81</v>
      </c>
      <c r="L512" t="s">
        <v>101</v>
      </c>
      <c r="N512">
        <v>0</v>
      </c>
      <c r="O512" s="1">
        <v>46091.766365740739</v>
      </c>
      <c r="P512" t="s">
        <v>82</v>
      </c>
      <c r="Q512" t="s">
        <v>69</v>
      </c>
      <c r="R512" t="s">
        <v>77</v>
      </c>
    </row>
    <row r="513" spans="1:18" ht="15" customHeight="1">
      <c r="A513" t="s">
        <v>1240</v>
      </c>
      <c r="B513" s="1">
        <v>46091.72146990741</v>
      </c>
      <c r="C513" t="s">
        <v>61</v>
      </c>
      <c r="D513" t="s">
        <v>9</v>
      </c>
      <c r="E513" t="s">
        <v>1</v>
      </c>
      <c r="F513" t="s">
        <v>28</v>
      </c>
      <c r="G513" t="s">
        <v>21</v>
      </c>
      <c r="H513" s="2" t="s">
        <v>1241</v>
      </c>
      <c r="I513" t="s">
        <v>80</v>
      </c>
      <c r="J513" t="s">
        <v>75</v>
      </c>
      <c r="K513" t="s">
        <v>81</v>
      </c>
      <c r="L513" t="s">
        <v>80</v>
      </c>
      <c r="N513">
        <v>0</v>
      </c>
      <c r="O513" s="1">
        <v>46092.453738425924</v>
      </c>
      <c r="P513" t="s">
        <v>82</v>
      </c>
      <c r="Q513" t="s">
        <v>69</v>
      </c>
      <c r="R513" t="s">
        <v>151</v>
      </c>
    </row>
    <row r="514" spans="1:18" ht="15" customHeight="1">
      <c r="A514" t="s">
        <v>1242</v>
      </c>
      <c r="B514" s="1">
        <v>46092.275300925925</v>
      </c>
      <c r="C514" t="s">
        <v>61</v>
      </c>
      <c r="D514" t="s">
        <v>327</v>
      </c>
      <c r="E514" t="s">
        <v>63</v>
      </c>
      <c r="H514" s="2" t="s">
        <v>1243</v>
      </c>
      <c r="I514" t="s">
        <v>329</v>
      </c>
      <c r="J514" t="s">
        <v>66</v>
      </c>
      <c r="K514" t="s">
        <v>76</v>
      </c>
      <c r="L514" t="s">
        <v>329</v>
      </c>
      <c r="N514">
        <v>0</v>
      </c>
      <c r="O514" s="1">
        <v>46093.418020833335</v>
      </c>
      <c r="P514" t="s">
        <v>330</v>
      </c>
      <c r="Q514" t="s">
        <v>340</v>
      </c>
      <c r="R514" t="s">
        <v>329</v>
      </c>
    </row>
    <row r="515" spans="1:18" ht="15" customHeight="1">
      <c r="A515" t="s">
        <v>1244</v>
      </c>
      <c r="B515" s="1">
        <v>46092.42496527778</v>
      </c>
      <c r="C515" t="s">
        <v>61</v>
      </c>
      <c r="D515" t="s">
        <v>9</v>
      </c>
      <c r="E515" t="s">
        <v>63</v>
      </c>
      <c r="H515" s="2" t="s">
        <v>1245</v>
      </c>
      <c r="I515" t="s">
        <v>855</v>
      </c>
      <c r="J515" t="s">
        <v>75</v>
      </c>
      <c r="K515" t="s">
        <v>76</v>
      </c>
      <c r="L515" t="s">
        <v>855</v>
      </c>
      <c r="N515">
        <v>1</v>
      </c>
      <c r="O515" s="1">
        <v>46092.429328703707</v>
      </c>
      <c r="Q515" t="s">
        <v>69</v>
      </c>
      <c r="R515" t="s">
        <v>155</v>
      </c>
    </row>
    <row r="516" spans="1:18" ht="15" customHeight="1">
      <c r="A516" t="s">
        <v>1246</v>
      </c>
      <c r="B516" s="1">
        <v>46092.562581018516</v>
      </c>
      <c r="C516" t="s">
        <v>61</v>
      </c>
      <c r="D516" t="s">
        <v>9</v>
      </c>
      <c r="E516" t="s">
        <v>1</v>
      </c>
      <c r="F516" t="s">
        <v>36</v>
      </c>
      <c r="G516" t="s">
        <v>21</v>
      </c>
      <c r="H516" s="2" t="s">
        <v>1247</v>
      </c>
      <c r="I516" t="s">
        <v>113</v>
      </c>
      <c r="J516" t="s">
        <v>75</v>
      </c>
      <c r="K516" t="s">
        <v>81</v>
      </c>
      <c r="L516" t="s">
        <v>113</v>
      </c>
      <c r="N516">
        <v>0</v>
      </c>
      <c r="O516" s="1">
        <v>46092.625138888892</v>
      </c>
      <c r="P516" t="s">
        <v>82</v>
      </c>
      <c r="Q516" t="s">
        <v>69</v>
      </c>
      <c r="R516" t="s">
        <v>125</v>
      </c>
    </row>
    <row r="517" spans="1:18" ht="15" customHeight="1">
      <c r="A517" t="s">
        <v>1248</v>
      </c>
      <c r="B517" s="1">
        <v>46092.599143518521</v>
      </c>
      <c r="C517" t="s">
        <v>61</v>
      </c>
      <c r="D517" t="s">
        <v>9</v>
      </c>
      <c r="E517" t="s">
        <v>63</v>
      </c>
      <c r="H517" t="s">
        <v>1191</v>
      </c>
      <c r="I517" t="s">
        <v>1249</v>
      </c>
      <c r="J517" t="s">
        <v>75</v>
      </c>
      <c r="K517" t="s">
        <v>76</v>
      </c>
      <c r="L517" t="s">
        <v>1249</v>
      </c>
      <c r="N517">
        <v>1</v>
      </c>
      <c r="O517" s="1">
        <v>46092.604421296295</v>
      </c>
      <c r="Q517" t="s">
        <v>69</v>
      </c>
      <c r="R517" t="s">
        <v>83</v>
      </c>
    </row>
    <row r="518" spans="1:18" ht="15" customHeight="1">
      <c r="A518" t="s">
        <v>1250</v>
      </c>
      <c r="B518" s="1">
        <v>46092.623564814814</v>
      </c>
      <c r="C518" t="s">
        <v>61</v>
      </c>
      <c r="D518" t="s">
        <v>9</v>
      </c>
      <c r="E518" t="s">
        <v>1</v>
      </c>
      <c r="F518" t="s">
        <v>26</v>
      </c>
      <c r="G518" t="s">
        <v>11</v>
      </c>
      <c r="H518" s="2" t="s">
        <v>1251</v>
      </c>
      <c r="I518" t="s">
        <v>634</v>
      </c>
      <c r="J518" t="s">
        <v>75</v>
      </c>
      <c r="K518" t="s">
        <v>76</v>
      </c>
      <c r="L518" t="s">
        <v>634</v>
      </c>
      <c r="N518">
        <v>0</v>
      </c>
      <c r="O518" s="1">
        <v>46092.727488425924</v>
      </c>
      <c r="P518" t="s">
        <v>97</v>
      </c>
      <c r="Q518" t="s">
        <v>340</v>
      </c>
      <c r="R518" t="s">
        <v>118</v>
      </c>
    </row>
    <row r="519" spans="1:18" ht="15" customHeight="1">
      <c r="A519" t="s">
        <v>1252</v>
      </c>
      <c r="B519" s="1">
        <v>46092.625300925924</v>
      </c>
      <c r="C519" t="s">
        <v>453</v>
      </c>
      <c r="D519" t="s">
        <v>9</v>
      </c>
      <c r="E519" t="s">
        <v>1</v>
      </c>
      <c r="F519" t="s">
        <v>38</v>
      </c>
      <c r="G519" t="s">
        <v>11</v>
      </c>
      <c r="H519" s="2" t="s">
        <v>1253</v>
      </c>
      <c r="I519" t="s">
        <v>292</v>
      </c>
      <c r="J519" t="s">
        <v>75</v>
      </c>
      <c r="K519" t="s">
        <v>81</v>
      </c>
      <c r="L519" t="s">
        <v>292</v>
      </c>
      <c r="N519">
        <v>0</v>
      </c>
      <c r="P519" t="s">
        <v>97</v>
      </c>
      <c r="Q519" t="s">
        <v>69</v>
      </c>
      <c r="R519" t="s">
        <v>155</v>
      </c>
    </row>
    <row r="520" spans="1:18" ht="15" customHeight="1">
      <c r="A520" t="s">
        <v>1254</v>
      </c>
      <c r="B520" s="1">
        <v>46092.625173611108</v>
      </c>
      <c r="C520" t="s">
        <v>165</v>
      </c>
      <c r="D520" t="s">
        <v>9</v>
      </c>
      <c r="E520" t="s">
        <v>1</v>
      </c>
      <c r="F520" t="s">
        <v>38</v>
      </c>
      <c r="G520" t="s">
        <v>11</v>
      </c>
      <c r="H520" s="2" t="s">
        <v>1255</v>
      </c>
      <c r="I520" t="s">
        <v>292</v>
      </c>
      <c r="J520" t="s">
        <v>75</v>
      </c>
      <c r="K520" t="s">
        <v>81</v>
      </c>
      <c r="L520" t="s">
        <v>292</v>
      </c>
      <c r="N520">
        <v>0</v>
      </c>
      <c r="P520" t="s">
        <v>82</v>
      </c>
      <c r="R520" t="s">
        <v>77</v>
      </c>
    </row>
    <row r="521" spans="1:18" ht="15" customHeight="1">
      <c r="A521" t="s">
        <v>1256</v>
      </c>
      <c r="B521" s="1">
        <v>46092.70417824074</v>
      </c>
      <c r="C521" t="s">
        <v>61</v>
      </c>
      <c r="D521" t="s">
        <v>9</v>
      </c>
      <c r="E521" t="s">
        <v>1</v>
      </c>
      <c r="F521" t="s">
        <v>37</v>
      </c>
      <c r="G521" t="s">
        <v>11</v>
      </c>
      <c r="H521" s="2" t="s">
        <v>1257</v>
      </c>
      <c r="I521" t="s">
        <v>586</v>
      </c>
      <c r="J521" t="s">
        <v>75</v>
      </c>
      <c r="K521" t="s">
        <v>81</v>
      </c>
      <c r="L521" t="s">
        <v>586</v>
      </c>
      <c r="N521">
        <v>0</v>
      </c>
      <c r="O521" s="1">
        <v>46093.406226851854</v>
      </c>
      <c r="P521" t="s">
        <v>82</v>
      </c>
      <c r="Q521" t="s">
        <v>117</v>
      </c>
      <c r="R521" t="s">
        <v>77</v>
      </c>
    </row>
    <row r="522" spans="1:18" ht="15" customHeight="1">
      <c r="A522" t="s">
        <v>1258</v>
      </c>
      <c r="B522" s="1">
        <v>46092.799791666665</v>
      </c>
      <c r="C522" t="s">
        <v>61</v>
      </c>
      <c r="D522" t="s">
        <v>9</v>
      </c>
      <c r="E522" t="s">
        <v>1</v>
      </c>
      <c r="F522" t="s">
        <v>37</v>
      </c>
      <c r="G522" t="s">
        <v>11</v>
      </c>
      <c r="H522" t="s">
        <v>1259</v>
      </c>
      <c r="I522" t="s">
        <v>824</v>
      </c>
      <c r="J522" t="s">
        <v>75</v>
      </c>
      <c r="K522" t="s">
        <v>81</v>
      </c>
      <c r="L522" t="s">
        <v>824</v>
      </c>
      <c r="N522">
        <v>0</v>
      </c>
      <c r="O522" s="1">
        <v>46093.421990740739</v>
      </c>
      <c r="P522" t="s">
        <v>82</v>
      </c>
      <c r="Q522" t="s">
        <v>69</v>
      </c>
      <c r="R522" t="s">
        <v>780</v>
      </c>
    </row>
    <row r="523" spans="1:18" ht="15" customHeight="1">
      <c r="A523" t="s">
        <v>1260</v>
      </c>
      <c r="B523" s="1">
        <v>46093.388518518521</v>
      </c>
      <c r="C523" t="s">
        <v>61</v>
      </c>
      <c r="D523" t="s">
        <v>9</v>
      </c>
      <c r="E523" t="s">
        <v>63</v>
      </c>
      <c r="H523" t="s">
        <v>1261</v>
      </c>
      <c r="I523" t="s">
        <v>219</v>
      </c>
      <c r="J523" t="s">
        <v>75</v>
      </c>
      <c r="K523" t="s">
        <v>76</v>
      </c>
      <c r="L523" t="s">
        <v>219</v>
      </c>
      <c r="N523">
        <v>1</v>
      </c>
      <c r="O523" s="1">
        <v>46093.399930555555</v>
      </c>
      <c r="Q523" t="s">
        <v>69</v>
      </c>
      <c r="R523" t="s">
        <v>354</v>
      </c>
    </row>
    <row r="524" spans="1:18" ht="15" customHeight="1">
      <c r="A524" t="s">
        <v>1262</v>
      </c>
      <c r="B524" s="1">
        <v>46093.404004629629</v>
      </c>
      <c r="C524" t="s">
        <v>61</v>
      </c>
      <c r="D524" t="s">
        <v>9</v>
      </c>
      <c r="E524" t="s">
        <v>63</v>
      </c>
      <c r="H524" s="2" t="s">
        <v>1263</v>
      </c>
      <c r="I524" t="s">
        <v>154</v>
      </c>
      <c r="J524" t="s">
        <v>75</v>
      </c>
      <c r="K524" t="s">
        <v>76</v>
      </c>
      <c r="L524" t="s">
        <v>154</v>
      </c>
      <c r="N524">
        <v>1</v>
      </c>
      <c r="O524" s="1">
        <v>46093.411412037036</v>
      </c>
      <c r="Q524" t="s">
        <v>141</v>
      </c>
      <c r="R524" t="s">
        <v>1264</v>
      </c>
    </row>
    <row r="525" spans="1:18" ht="15" customHeight="1">
      <c r="A525" t="s">
        <v>1265</v>
      </c>
      <c r="B525" s="1">
        <v>46093.437777777777</v>
      </c>
      <c r="C525" t="s">
        <v>184</v>
      </c>
      <c r="D525" t="s">
        <v>9</v>
      </c>
      <c r="E525" t="s">
        <v>1</v>
      </c>
      <c r="F525" t="s">
        <v>35</v>
      </c>
      <c r="G525" t="s">
        <v>19</v>
      </c>
      <c r="H525" s="2" t="s">
        <v>1266</v>
      </c>
      <c r="I525" t="s">
        <v>118</v>
      </c>
      <c r="J525" t="s">
        <v>75</v>
      </c>
      <c r="K525" t="s">
        <v>76</v>
      </c>
      <c r="L525" t="s">
        <v>118</v>
      </c>
      <c r="N525">
        <v>0</v>
      </c>
      <c r="P525" t="s">
        <v>97</v>
      </c>
      <c r="R525" t="s">
        <v>118</v>
      </c>
    </row>
    <row r="526" spans="1:18" ht="15" customHeight="1">
      <c r="A526" t="s">
        <v>1267</v>
      </c>
      <c r="B526" s="1">
        <v>46093.536898148152</v>
      </c>
      <c r="C526" t="s">
        <v>61</v>
      </c>
      <c r="D526" t="s">
        <v>9</v>
      </c>
      <c r="E526" t="s">
        <v>1</v>
      </c>
      <c r="F526" t="s">
        <v>26</v>
      </c>
      <c r="G526" t="s">
        <v>19</v>
      </c>
      <c r="H526" s="2" t="s">
        <v>1268</v>
      </c>
      <c r="I526" t="s">
        <v>634</v>
      </c>
      <c r="J526" t="s">
        <v>75</v>
      </c>
      <c r="K526" t="s">
        <v>76</v>
      </c>
      <c r="L526" t="s">
        <v>634</v>
      </c>
      <c r="N526">
        <v>0</v>
      </c>
      <c r="O526" s="1">
        <v>46093.67769675926</v>
      </c>
      <c r="P526" t="s">
        <v>97</v>
      </c>
      <c r="Q526" t="s">
        <v>98</v>
      </c>
      <c r="R526" t="s">
        <v>118</v>
      </c>
    </row>
    <row r="527" spans="1:18" ht="15" customHeight="1">
      <c r="A527" t="s">
        <v>1269</v>
      </c>
      <c r="B527" s="1">
        <v>46093.571539351855</v>
      </c>
      <c r="C527" t="s">
        <v>61</v>
      </c>
      <c r="D527" t="s">
        <v>9</v>
      </c>
      <c r="E527" t="s">
        <v>1</v>
      </c>
      <c r="F527" t="s">
        <v>36</v>
      </c>
      <c r="G527" t="s">
        <v>11</v>
      </c>
      <c r="H527" s="2" t="s">
        <v>1270</v>
      </c>
      <c r="I527" t="s">
        <v>131</v>
      </c>
      <c r="J527" t="s">
        <v>75</v>
      </c>
      <c r="K527" t="s">
        <v>81</v>
      </c>
      <c r="L527" t="s">
        <v>131</v>
      </c>
      <c r="N527">
        <v>0</v>
      </c>
      <c r="O527" s="1">
        <v>46094.644525462965</v>
      </c>
      <c r="P527" t="s">
        <v>82</v>
      </c>
      <c r="Q527" t="s">
        <v>117</v>
      </c>
      <c r="R527" t="s">
        <v>77</v>
      </c>
    </row>
    <row r="528" spans="1:18" ht="15" customHeight="1">
      <c r="A528" t="s">
        <v>1271</v>
      </c>
      <c r="B528" s="1">
        <v>46093.57099537037</v>
      </c>
      <c r="C528" t="s">
        <v>61</v>
      </c>
      <c r="D528" t="s">
        <v>9</v>
      </c>
      <c r="E528" t="s">
        <v>1</v>
      </c>
      <c r="F528" t="s">
        <v>37</v>
      </c>
      <c r="G528" t="s">
        <v>19</v>
      </c>
      <c r="H528" s="2" t="s">
        <v>1272</v>
      </c>
      <c r="I528" t="s">
        <v>540</v>
      </c>
      <c r="J528" t="s">
        <v>75</v>
      </c>
      <c r="K528" t="s">
        <v>81</v>
      </c>
      <c r="L528" t="s">
        <v>540</v>
      </c>
      <c r="N528">
        <v>0</v>
      </c>
      <c r="O528" s="1">
        <v>46094.677118055559</v>
      </c>
      <c r="P528" t="s">
        <v>82</v>
      </c>
      <c r="Q528" t="s">
        <v>117</v>
      </c>
      <c r="R528" t="s">
        <v>125</v>
      </c>
    </row>
    <row r="529" spans="1:18" ht="15" customHeight="1">
      <c r="A529" t="s">
        <v>1273</v>
      </c>
      <c r="B529" s="1">
        <v>46093.63957175926</v>
      </c>
      <c r="C529" t="s">
        <v>453</v>
      </c>
      <c r="D529" t="s">
        <v>9</v>
      </c>
      <c r="E529" t="s">
        <v>1</v>
      </c>
      <c r="F529" t="s">
        <v>29</v>
      </c>
      <c r="G529" t="s">
        <v>19</v>
      </c>
      <c r="H529" s="2" t="s">
        <v>1274</v>
      </c>
      <c r="I529" t="s">
        <v>1275</v>
      </c>
      <c r="J529" t="s">
        <v>75</v>
      </c>
      <c r="K529" t="s">
        <v>76</v>
      </c>
      <c r="L529" t="s">
        <v>1275</v>
      </c>
      <c r="N529">
        <v>0</v>
      </c>
      <c r="P529" t="s">
        <v>97</v>
      </c>
      <c r="Q529" t="s">
        <v>69</v>
      </c>
      <c r="R529" t="s">
        <v>118</v>
      </c>
    </row>
    <row r="530" spans="1:18" ht="15" customHeight="1">
      <c r="A530" t="s">
        <v>1276</v>
      </c>
      <c r="B530" s="1">
        <v>46093.645277777781</v>
      </c>
      <c r="C530" t="s">
        <v>61</v>
      </c>
      <c r="D530" t="s">
        <v>9</v>
      </c>
      <c r="E530" t="s">
        <v>63</v>
      </c>
      <c r="H530" s="2" t="s">
        <v>1277</v>
      </c>
      <c r="I530" t="s">
        <v>210</v>
      </c>
      <c r="J530" t="s">
        <v>75</v>
      </c>
      <c r="K530" t="s">
        <v>76</v>
      </c>
      <c r="L530" t="s">
        <v>210</v>
      </c>
      <c r="N530">
        <v>0</v>
      </c>
      <c r="O530" s="1">
        <v>46094.453865740739</v>
      </c>
      <c r="P530" t="s">
        <v>97</v>
      </c>
      <c r="Q530" t="s">
        <v>69</v>
      </c>
      <c r="R530" t="s">
        <v>125</v>
      </c>
    </row>
    <row r="531" spans="1:18" ht="15" customHeight="1">
      <c r="A531" t="s">
        <v>1278</v>
      </c>
      <c r="B531" s="1">
        <v>46093.66815972222</v>
      </c>
      <c r="C531" t="s">
        <v>61</v>
      </c>
      <c r="D531" t="s">
        <v>9</v>
      </c>
      <c r="E531" t="s">
        <v>63</v>
      </c>
      <c r="H531" s="2" t="s">
        <v>174</v>
      </c>
      <c r="I531" t="s">
        <v>140</v>
      </c>
      <c r="J531" t="s">
        <v>75</v>
      </c>
      <c r="K531" t="s">
        <v>76</v>
      </c>
      <c r="L531" t="s">
        <v>140</v>
      </c>
      <c r="N531">
        <v>1</v>
      </c>
      <c r="O531" s="1">
        <v>46093.675682870373</v>
      </c>
      <c r="Q531" t="s">
        <v>141</v>
      </c>
      <c r="R531" t="s">
        <v>1264</v>
      </c>
    </row>
    <row r="532" spans="1:18" ht="15" customHeight="1">
      <c r="A532" t="s">
        <v>1279</v>
      </c>
      <c r="B532" s="1">
        <v>46094.404120370367</v>
      </c>
      <c r="C532" t="s">
        <v>61</v>
      </c>
      <c r="D532" t="s">
        <v>9</v>
      </c>
      <c r="E532" t="s">
        <v>1</v>
      </c>
      <c r="F532" t="s">
        <v>35</v>
      </c>
      <c r="G532" t="s">
        <v>12</v>
      </c>
      <c r="H532" s="2" t="s">
        <v>1280</v>
      </c>
      <c r="I532" t="s">
        <v>210</v>
      </c>
      <c r="J532" t="s">
        <v>75</v>
      </c>
      <c r="K532" t="s">
        <v>76</v>
      </c>
      <c r="L532" t="s">
        <v>210</v>
      </c>
      <c r="N532">
        <v>0</v>
      </c>
      <c r="O532" s="1">
        <v>46099.313587962963</v>
      </c>
      <c r="P532" t="s">
        <v>97</v>
      </c>
      <c r="Q532" t="s">
        <v>211</v>
      </c>
      <c r="R532" t="s">
        <v>210</v>
      </c>
    </row>
    <row r="533" spans="1:18" ht="15" customHeight="1">
      <c r="A533" t="s">
        <v>1281</v>
      </c>
      <c r="B533" s="1">
        <v>46094.495254629626</v>
      </c>
      <c r="C533" t="s">
        <v>61</v>
      </c>
      <c r="D533" t="s">
        <v>9</v>
      </c>
      <c r="E533" t="s">
        <v>1</v>
      </c>
      <c r="F533" t="s">
        <v>28</v>
      </c>
      <c r="G533" t="s">
        <v>21</v>
      </c>
      <c r="H533" s="2" t="s">
        <v>1282</v>
      </c>
      <c r="I533" t="s">
        <v>281</v>
      </c>
      <c r="J533" t="s">
        <v>75</v>
      </c>
      <c r="K533" t="s">
        <v>81</v>
      </c>
      <c r="L533" t="s">
        <v>281</v>
      </c>
      <c r="N533">
        <v>0</v>
      </c>
      <c r="O533" s="1">
        <v>46094.689074074071</v>
      </c>
      <c r="P533" t="s">
        <v>82</v>
      </c>
      <c r="Q533" t="s">
        <v>69</v>
      </c>
      <c r="R533" t="s">
        <v>77</v>
      </c>
    </row>
    <row r="534" spans="1:18" ht="15" customHeight="1">
      <c r="A534" t="s">
        <v>1283</v>
      </c>
      <c r="B534" s="1">
        <v>46094.544814814813</v>
      </c>
      <c r="C534" t="s">
        <v>61</v>
      </c>
      <c r="D534" t="s">
        <v>9</v>
      </c>
      <c r="E534" t="s">
        <v>1</v>
      </c>
      <c r="F534" t="s">
        <v>31</v>
      </c>
      <c r="G534" t="s">
        <v>10</v>
      </c>
      <c r="H534" s="2" t="s">
        <v>1284</v>
      </c>
      <c r="I534" t="s">
        <v>1285</v>
      </c>
      <c r="J534" t="s">
        <v>75</v>
      </c>
      <c r="K534" t="s">
        <v>81</v>
      </c>
      <c r="L534" t="s">
        <v>395</v>
      </c>
      <c r="N534">
        <v>0</v>
      </c>
      <c r="O534" s="1">
        <v>46094.690300925926</v>
      </c>
      <c r="P534" t="s">
        <v>82</v>
      </c>
      <c r="Q534" t="s">
        <v>117</v>
      </c>
      <c r="R534" t="s">
        <v>77</v>
      </c>
    </row>
    <row r="535" spans="1:18" ht="15" customHeight="1">
      <c r="A535" t="s">
        <v>1286</v>
      </c>
      <c r="B535" s="1">
        <v>46094.584328703706</v>
      </c>
      <c r="C535" t="s">
        <v>61</v>
      </c>
      <c r="D535" t="s">
        <v>9</v>
      </c>
      <c r="E535" t="s">
        <v>1</v>
      </c>
      <c r="F535" t="s">
        <v>37</v>
      </c>
      <c r="G535" t="s">
        <v>11</v>
      </c>
      <c r="H535" s="2" t="s">
        <v>1287</v>
      </c>
      <c r="I535" t="s">
        <v>154</v>
      </c>
      <c r="J535" t="s">
        <v>75</v>
      </c>
      <c r="K535" t="s">
        <v>81</v>
      </c>
      <c r="L535" t="s">
        <v>154</v>
      </c>
      <c r="N535">
        <v>0</v>
      </c>
      <c r="O535" s="1">
        <v>46105.408668981479</v>
      </c>
      <c r="P535" t="s">
        <v>82</v>
      </c>
      <c r="Q535" t="s">
        <v>69</v>
      </c>
      <c r="R535" t="s">
        <v>125</v>
      </c>
    </row>
    <row r="536" spans="1:18" ht="15" customHeight="1">
      <c r="A536" t="s">
        <v>1288</v>
      </c>
      <c r="B536" s="1">
        <v>46094.644675925927</v>
      </c>
      <c r="C536" t="s">
        <v>61</v>
      </c>
      <c r="D536" t="s">
        <v>9</v>
      </c>
      <c r="E536" t="s">
        <v>1</v>
      </c>
      <c r="F536" t="s">
        <v>37</v>
      </c>
      <c r="G536" t="s">
        <v>14</v>
      </c>
      <c r="H536" s="2" t="s">
        <v>1289</v>
      </c>
      <c r="I536" t="s">
        <v>540</v>
      </c>
      <c r="J536" t="s">
        <v>75</v>
      </c>
      <c r="K536" t="s">
        <v>81</v>
      </c>
      <c r="L536" t="s">
        <v>540</v>
      </c>
      <c r="N536">
        <v>0</v>
      </c>
      <c r="O536" s="1">
        <v>46099.312199074076</v>
      </c>
      <c r="P536" t="s">
        <v>97</v>
      </c>
      <c r="Q536" t="s">
        <v>69</v>
      </c>
      <c r="R536" t="s">
        <v>125</v>
      </c>
    </row>
    <row r="537" spans="1:18" ht="15" customHeight="1">
      <c r="A537" t="s">
        <v>1290</v>
      </c>
      <c r="B537" s="1">
        <v>46094.693912037037</v>
      </c>
      <c r="C537" t="s">
        <v>61</v>
      </c>
      <c r="D537" t="s">
        <v>9</v>
      </c>
      <c r="E537" t="s">
        <v>1</v>
      </c>
      <c r="F537" t="s">
        <v>34</v>
      </c>
      <c r="G537" t="s">
        <v>11</v>
      </c>
      <c r="H537" s="2" t="s">
        <v>1291</v>
      </c>
      <c r="I537" t="s">
        <v>444</v>
      </c>
      <c r="J537" t="s">
        <v>75</v>
      </c>
      <c r="K537" t="s">
        <v>81</v>
      </c>
      <c r="L537" t="s">
        <v>444</v>
      </c>
      <c r="N537">
        <v>0</v>
      </c>
      <c r="O537" s="1">
        <v>46105.724768518521</v>
      </c>
      <c r="P537" t="s">
        <v>82</v>
      </c>
      <c r="Q537" t="s">
        <v>69</v>
      </c>
      <c r="R537" t="s">
        <v>125</v>
      </c>
    </row>
    <row r="538" spans="1:18" ht="15" customHeight="1">
      <c r="A538" t="s">
        <v>1292</v>
      </c>
      <c r="B538" s="1">
        <v>46097.415844907409</v>
      </c>
      <c r="C538" t="s">
        <v>61</v>
      </c>
      <c r="D538" t="s">
        <v>9</v>
      </c>
      <c r="E538" t="s">
        <v>63</v>
      </c>
      <c r="H538" s="2" t="s">
        <v>1293</v>
      </c>
      <c r="I538" t="s">
        <v>350</v>
      </c>
      <c r="J538" t="s">
        <v>66</v>
      </c>
      <c r="K538" t="s">
        <v>76</v>
      </c>
      <c r="L538" t="s">
        <v>350</v>
      </c>
      <c r="N538">
        <v>1</v>
      </c>
      <c r="O538" s="1">
        <v>46097.419710648152</v>
      </c>
      <c r="Q538" t="s">
        <v>69</v>
      </c>
      <c r="R538" t="s">
        <v>354</v>
      </c>
    </row>
    <row r="539" spans="1:18" ht="15" customHeight="1">
      <c r="A539" t="s">
        <v>1294</v>
      </c>
      <c r="B539" s="1">
        <v>46097.498032407406</v>
      </c>
      <c r="C539" t="s">
        <v>165</v>
      </c>
      <c r="D539" t="s">
        <v>9</v>
      </c>
      <c r="E539" t="s">
        <v>1</v>
      </c>
      <c r="F539" t="s">
        <v>37</v>
      </c>
      <c r="G539" t="s">
        <v>19</v>
      </c>
      <c r="H539" s="2" t="s">
        <v>1295</v>
      </c>
      <c r="I539" t="s">
        <v>101</v>
      </c>
      <c r="J539" t="s">
        <v>75</v>
      </c>
      <c r="K539" t="s">
        <v>81</v>
      </c>
      <c r="L539" t="s">
        <v>101</v>
      </c>
      <c r="N539">
        <v>0</v>
      </c>
      <c r="P539" t="s">
        <v>82</v>
      </c>
      <c r="R539" t="s">
        <v>125</v>
      </c>
    </row>
    <row r="540" spans="1:18" ht="15" customHeight="1">
      <c r="A540" t="s">
        <v>1296</v>
      </c>
      <c r="B540" s="1">
        <v>46097.619085648148</v>
      </c>
      <c r="C540" t="s">
        <v>61</v>
      </c>
      <c r="D540" t="s">
        <v>9</v>
      </c>
      <c r="E540" t="s">
        <v>63</v>
      </c>
      <c r="H540" t="s">
        <v>1297</v>
      </c>
      <c r="I540" t="s">
        <v>1298</v>
      </c>
      <c r="J540" t="s">
        <v>66</v>
      </c>
      <c r="K540" t="s">
        <v>76</v>
      </c>
      <c r="L540" t="s">
        <v>1298</v>
      </c>
      <c r="N540">
        <v>1</v>
      </c>
      <c r="O540" s="1">
        <v>46097.620891203704</v>
      </c>
      <c r="Q540" t="s">
        <v>69</v>
      </c>
      <c r="R540" t="s">
        <v>354</v>
      </c>
    </row>
    <row r="541" spans="1:18" ht="15" customHeight="1">
      <c r="A541" t="s">
        <v>1299</v>
      </c>
      <c r="B541" s="1">
        <v>46097.647627314815</v>
      </c>
      <c r="C541" t="s">
        <v>61</v>
      </c>
      <c r="D541" t="s">
        <v>9</v>
      </c>
      <c r="E541" t="s">
        <v>63</v>
      </c>
      <c r="H541" s="2" t="s">
        <v>1300</v>
      </c>
      <c r="I541" t="s">
        <v>686</v>
      </c>
      <c r="J541" t="s">
        <v>75</v>
      </c>
      <c r="K541" t="s">
        <v>76</v>
      </c>
      <c r="L541" t="s">
        <v>686</v>
      </c>
      <c r="N541">
        <v>1</v>
      </c>
      <c r="O541" s="1">
        <v>46097.651388888888</v>
      </c>
      <c r="Q541" t="s">
        <v>69</v>
      </c>
      <c r="R541" t="s">
        <v>589</v>
      </c>
    </row>
    <row r="542" spans="1:18" ht="15" customHeight="1">
      <c r="A542" t="s">
        <v>1301</v>
      </c>
      <c r="B542" s="1">
        <v>46097.657349537039</v>
      </c>
      <c r="C542" t="s">
        <v>184</v>
      </c>
      <c r="D542" t="s">
        <v>9</v>
      </c>
      <c r="E542" t="s">
        <v>1</v>
      </c>
      <c r="F542" t="s">
        <v>42</v>
      </c>
      <c r="G542" t="s">
        <v>19</v>
      </c>
      <c r="H542" s="2" t="s">
        <v>1302</v>
      </c>
      <c r="I542" t="s">
        <v>1303</v>
      </c>
      <c r="J542" t="s">
        <v>75</v>
      </c>
      <c r="K542" t="s">
        <v>81</v>
      </c>
      <c r="L542" t="s">
        <v>1303</v>
      </c>
      <c r="N542">
        <v>0</v>
      </c>
      <c r="P542" t="s">
        <v>97</v>
      </c>
      <c r="R542" t="s">
        <v>77</v>
      </c>
    </row>
    <row r="543" spans="1:18" ht="15" customHeight="1">
      <c r="A543" t="s">
        <v>1304</v>
      </c>
      <c r="B543" s="1">
        <v>46098.273125</v>
      </c>
      <c r="C543" t="s">
        <v>61</v>
      </c>
      <c r="D543" t="s">
        <v>9</v>
      </c>
      <c r="E543" t="s">
        <v>63</v>
      </c>
      <c r="H543" s="2" t="s">
        <v>1305</v>
      </c>
      <c r="I543" t="s">
        <v>478</v>
      </c>
      <c r="J543" t="s">
        <v>66</v>
      </c>
      <c r="K543" t="s">
        <v>67</v>
      </c>
      <c r="L543" t="s">
        <v>478</v>
      </c>
      <c r="N543">
        <v>0</v>
      </c>
      <c r="O543" s="1">
        <v>46099.315844907411</v>
      </c>
      <c r="P543" t="s">
        <v>97</v>
      </c>
      <c r="Q543" t="s">
        <v>98</v>
      </c>
      <c r="R543" t="s">
        <v>478</v>
      </c>
    </row>
    <row r="544" spans="1:18" ht="15" customHeight="1">
      <c r="A544" t="s">
        <v>1306</v>
      </c>
      <c r="B544" s="1">
        <v>46098.430127314816</v>
      </c>
      <c r="C544" t="s">
        <v>61</v>
      </c>
      <c r="D544" t="s">
        <v>9</v>
      </c>
      <c r="E544" t="s">
        <v>63</v>
      </c>
      <c r="H544" s="2" t="s">
        <v>1307</v>
      </c>
      <c r="I544" t="s">
        <v>1229</v>
      </c>
      <c r="J544" t="s">
        <v>75</v>
      </c>
      <c r="K544" t="s">
        <v>76</v>
      </c>
      <c r="L544" t="s">
        <v>1229</v>
      </c>
      <c r="N544">
        <v>1</v>
      </c>
      <c r="O544" s="1">
        <v>46098.433611111112</v>
      </c>
      <c r="Q544" t="s">
        <v>176</v>
      </c>
      <c r="R544" t="s">
        <v>1264</v>
      </c>
    </row>
    <row r="545" spans="1:18" ht="15" customHeight="1">
      <c r="A545" t="s">
        <v>1308</v>
      </c>
      <c r="B545" s="1">
        <v>46098.464675925927</v>
      </c>
      <c r="C545" t="s">
        <v>61</v>
      </c>
      <c r="D545" t="s">
        <v>9</v>
      </c>
      <c r="E545" t="s">
        <v>63</v>
      </c>
      <c r="H545" t="s">
        <v>1309</v>
      </c>
      <c r="I545" t="s">
        <v>121</v>
      </c>
      <c r="J545" t="s">
        <v>66</v>
      </c>
      <c r="K545" t="s">
        <v>76</v>
      </c>
      <c r="L545" t="s">
        <v>121</v>
      </c>
      <c r="N545">
        <v>1</v>
      </c>
      <c r="O545" s="1">
        <v>46098.466967592591</v>
      </c>
      <c r="Q545" t="s">
        <v>69</v>
      </c>
      <c r="R545" t="s">
        <v>354</v>
      </c>
    </row>
    <row r="546" spans="1:18" ht="15" customHeight="1">
      <c r="A546" t="s">
        <v>1310</v>
      </c>
      <c r="B546" s="1">
        <v>46098.514305555553</v>
      </c>
      <c r="C546" t="s">
        <v>61</v>
      </c>
      <c r="D546" t="s">
        <v>9</v>
      </c>
      <c r="E546" t="s">
        <v>63</v>
      </c>
      <c r="H546" s="2" t="s">
        <v>1311</v>
      </c>
      <c r="I546" t="s">
        <v>1229</v>
      </c>
      <c r="J546" t="s">
        <v>75</v>
      </c>
      <c r="K546" t="s">
        <v>76</v>
      </c>
      <c r="L546" t="s">
        <v>1229</v>
      </c>
      <c r="N546">
        <v>1</v>
      </c>
      <c r="O546" s="1">
        <v>46098.516446759262</v>
      </c>
      <c r="Q546" t="s">
        <v>176</v>
      </c>
      <c r="R546" t="s">
        <v>125</v>
      </c>
    </row>
    <row r="547" spans="1:18" ht="15" customHeight="1">
      <c r="A547" t="s">
        <v>1312</v>
      </c>
      <c r="B547" s="1">
        <v>46098.605740740742</v>
      </c>
      <c r="C547" t="s">
        <v>61</v>
      </c>
      <c r="D547" t="s">
        <v>9</v>
      </c>
      <c r="E547" t="s">
        <v>63</v>
      </c>
      <c r="H547" s="2" t="s">
        <v>1313</v>
      </c>
      <c r="I547" t="s">
        <v>121</v>
      </c>
      <c r="J547" t="s">
        <v>75</v>
      </c>
      <c r="K547" t="s">
        <v>76</v>
      </c>
      <c r="L547" t="s">
        <v>121</v>
      </c>
      <c r="N547">
        <v>1</v>
      </c>
      <c r="O547" s="1">
        <v>46098.607800925929</v>
      </c>
      <c r="Q547" t="s">
        <v>141</v>
      </c>
      <c r="R547" t="s">
        <v>155</v>
      </c>
    </row>
    <row r="548" spans="1:18" ht="15" customHeight="1">
      <c r="A548" t="s">
        <v>1314</v>
      </c>
      <c r="B548" s="1">
        <v>46098.712280092594</v>
      </c>
      <c r="C548" t="s">
        <v>61</v>
      </c>
      <c r="D548" t="s">
        <v>9</v>
      </c>
      <c r="E548" t="s">
        <v>1</v>
      </c>
      <c r="F548" t="s">
        <v>37</v>
      </c>
      <c r="G548" t="s">
        <v>17</v>
      </c>
      <c r="H548" s="2" t="s">
        <v>1315</v>
      </c>
      <c r="I548" t="s">
        <v>167</v>
      </c>
      <c r="J548" t="s">
        <v>96</v>
      </c>
      <c r="K548" t="s">
        <v>76</v>
      </c>
      <c r="L548" t="s">
        <v>167</v>
      </c>
      <c r="N548">
        <v>0</v>
      </c>
      <c r="O548" s="1">
        <v>46101.310428240744</v>
      </c>
      <c r="P548" t="s">
        <v>97</v>
      </c>
      <c r="Q548" t="s">
        <v>117</v>
      </c>
      <c r="R548" t="s">
        <v>167</v>
      </c>
    </row>
    <row r="549" spans="1:18" ht="15" customHeight="1">
      <c r="A549" t="s">
        <v>1316</v>
      </c>
      <c r="B549" s="1">
        <v>46098.829791666663</v>
      </c>
      <c r="C549" t="s">
        <v>61</v>
      </c>
      <c r="D549" t="s">
        <v>9</v>
      </c>
      <c r="E549" t="s">
        <v>1</v>
      </c>
      <c r="F549" t="s">
        <v>27</v>
      </c>
      <c r="G549" t="s">
        <v>11</v>
      </c>
      <c r="H549" s="2" t="s">
        <v>1317</v>
      </c>
      <c r="I549" t="s">
        <v>124</v>
      </c>
      <c r="J549" t="s">
        <v>75</v>
      </c>
      <c r="K549" t="s">
        <v>81</v>
      </c>
      <c r="L549" t="s">
        <v>124</v>
      </c>
      <c r="N549">
        <v>0</v>
      </c>
      <c r="O549" s="1">
        <v>46106.307337962964</v>
      </c>
      <c r="P549" t="s">
        <v>97</v>
      </c>
      <c r="Q549" t="s">
        <v>117</v>
      </c>
      <c r="R549" t="s">
        <v>589</v>
      </c>
    </row>
    <row r="550" spans="1:18" ht="15" customHeight="1">
      <c r="A550" t="s">
        <v>1318</v>
      </c>
      <c r="B550" s="1">
        <v>46099.271874999999</v>
      </c>
      <c r="C550" t="s">
        <v>61</v>
      </c>
      <c r="D550" t="s">
        <v>62</v>
      </c>
      <c r="E550" t="s">
        <v>63</v>
      </c>
      <c r="H550" s="2" t="s">
        <v>1319</v>
      </c>
      <c r="I550" t="s">
        <v>478</v>
      </c>
      <c r="J550" t="s">
        <v>66</v>
      </c>
      <c r="K550" t="s">
        <v>67</v>
      </c>
      <c r="L550" t="s">
        <v>478</v>
      </c>
      <c r="N550">
        <v>0</v>
      </c>
      <c r="O550" s="1">
        <v>46104.607488425929</v>
      </c>
      <c r="P550" t="s">
        <v>97</v>
      </c>
      <c r="Q550" t="s">
        <v>331</v>
      </c>
      <c r="R550" t="s">
        <v>478</v>
      </c>
    </row>
    <row r="551" spans="1:18" ht="15" customHeight="1">
      <c r="A551" t="s">
        <v>1320</v>
      </c>
      <c r="B551" s="1">
        <v>46099.294085648151</v>
      </c>
      <c r="C551" t="s">
        <v>61</v>
      </c>
      <c r="D551" t="s">
        <v>62</v>
      </c>
      <c r="E551" t="s">
        <v>63</v>
      </c>
      <c r="H551" s="2" t="s">
        <v>1321</v>
      </c>
      <c r="I551" t="s">
        <v>691</v>
      </c>
      <c r="J551" t="s">
        <v>66</v>
      </c>
      <c r="K551" t="s">
        <v>67</v>
      </c>
      <c r="L551" t="s">
        <v>691</v>
      </c>
      <c r="N551">
        <v>0</v>
      </c>
      <c r="O551" s="1">
        <v>46100.456180555557</v>
      </c>
      <c r="P551" t="s">
        <v>68</v>
      </c>
      <c r="Q551" t="s">
        <v>141</v>
      </c>
      <c r="R551" t="s">
        <v>691</v>
      </c>
    </row>
    <row r="552" spans="1:18" ht="15" customHeight="1">
      <c r="A552" t="s">
        <v>1322</v>
      </c>
      <c r="B552" s="1">
        <v>46099.363067129627</v>
      </c>
      <c r="C552" t="s">
        <v>61</v>
      </c>
      <c r="D552" t="s">
        <v>9</v>
      </c>
      <c r="E552" t="s">
        <v>1</v>
      </c>
      <c r="F552" t="s">
        <v>28</v>
      </c>
      <c r="G552" t="s">
        <v>12</v>
      </c>
      <c r="H552" s="2" t="s">
        <v>1323</v>
      </c>
      <c r="I552" t="s">
        <v>386</v>
      </c>
      <c r="J552" t="s">
        <v>75</v>
      </c>
      <c r="K552" t="s">
        <v>81</v>
      </c>
      <c r="L552" t="s">
        <v>386</v>
      </c>
      <c r="N552">
        <v>0</v>
      </c>
      <c r="O552" s="1">
        <v>46106.307106481479</v>
      </c>
      <c r="P552" t="s">
        <v>97</v>
      </c>
      <c r="Q552" t="s">
        <v>69</v>
      </c>
      <c r="R552" t="s">
        <v>125</v>
      </c>
    </row>
    <row r="553" spans="1:18" ht="15" customHeight="1">
      <c r="A553" t="s">
        <v>1324</v>
      </c>
      <c r="B553" s="1">
        <v>46099.475046296298</v>
      </c>
      <c r="C553" t="s">
        <v>61</v>
      </c>
      <c r="D553" t="s">
        <v>9</v>
      </c>
      <c r="E553" t="s">
        <v>63</v>
      </c>
      <c r="H553" s="2" t="s">
        <v>174</v>
      </c>
      <c r="I553" t="s">
        <v>140</v>
      </c>
      <c r="J553" t="s">
        <v>75</v>
      </c>
      <c r="K553" t="s">
        <v>76</v>
      </c>
      <c r="L553" t="s">
        <v>140</v>
      </c>
      <c r="N553">
        <v>1</v>
      </c>
      <c r="O553" s="1">
        <v>46099.476817129631</v>
      </c>
      <c r="Q553" t="s">
        <v>176</v>
      </c>
      <c r="R553" t="s">
        <v>125</v>
      </c>
    </row>
    <row r="554" spans="1:18" ht="15" customHeight="1">
      <c r="A554" t="s">
        <v>1325</v>
      </c>
      <c r="B554" s="1">
        <v>46099.512407407405</v>
      </c>
      <c r="C554" t="s">
        <v>165</v>
      </c>
      <c r="D554" t="s">
        <v>9</v>
      </c>
      <c r="E554" t="s">
        <v>1</v>
      </c>
      <c r="F554" t="s">
        <v>31</v>
      </c>
      <c r="G554" t="s">
        <v>11</v>
      </c>
      <c r="H554" s="2" t="s">
        <v>1326</v>
      </c>
      <c r="I554" t="s">
        <v>1327</v>
      </c>
      <c r="J554" t="s">
        <v>75</v>
      </c>
      <c r="K554" t="s">
        <v>76</v>
      </c>
      <c r="L554" t="s">
        <v>1327</v>
      </c>
      <c r="N554">
        <v>0</v>
      </c>
      <c r="P554" t="s">
        <v>82</v>
      </c>
      <c r="R554" t="s">
        <v>77</v>
      </c>
    </row>
    <row r="555" spans="1:18" ht="15" customHeight="1">
      <c r="A555" t="s">
        <v>1328</v>
      </c>
      <c r="B555" s="1">
        <v>46099.514930555553</v>
      </c>
      <c r="C555" t="s">
        <v>61</v>
      </c>
      <c r="D555" t="s">
        <v>9</v>
      </c>
      <c r="E555" t="s">
        <v>1</v>
      </c>
      <c r="F555" t="s">
        <v>38</v>
      </c>
      <c r="G555" t="s">
        <v>14</v>
      </c>
      <c r="H555" s="2" t="s">
        <v>1329</v>
      </c>
      <c r="I555" t="s">
        <v>292</v>
      </c>
      <c r="J555" t="s">
        <v>75</v>
      </c>
      <c r="K555" t="s">
        <v>81</v>
      </c>
      <c r="L555" t="s">
        <v>292</v>
      </c>
      <c r="N555">
        <v>0</v>
      </c>
      <c r="O555" s="1">
        <v>46105.629780092589</v>
      </c>
      <c r="P555" t="s">
        <v>82</v>
      </c>
      <c r="R555" t="s">
        <v>77</v>
      </c>
    </row>
    <row r="556" spans="1:18" ht="15" customHeight="1">
      <c r="A556" t="s">
        <v>1330</v>
      </c>
      <c r="B556" s="1">
        <v>46099.517395833333</v>
      </c>
      <c r="C556" t="s">
        <v>294</v>
      </c>
      <c r="D556" t="s">
        <v>9</v>
      </c>
      <c r="E556" t="s">
        <v>1</v>
      </c>
      <c r="F556" t="s">
        <v>26</v>
      </c>
      <c r="G556" t="s">
        <v>19</v>
      </c>
      <c r="H556" s="2" t="s">
        <v>1331</v>
      </c>
      <c r="I556" t="s">
        <v>214</v>
      </c>
      <c r="J556" t="s">
        <v>75</v>
      </c>
      <c r="K556" t="s">
        <v>81</v>
      </c>
      <c r="L556" t="s">
        <v>214</v>
      </c>
      <c r="N556">
        <v>0</v>
      </c>
      <c r="P556" t="s">
        <v>97</v>
      </c>
      <c r="R556" t="s">
        <v>125</v>
      </c>
    </row>
    <row r="557" spans="1:18" ht="15" customHeight="1">
      <c r="A557" t="s">
        <v>1332</v>
      </c>
      <c r="B557" s="1">
        <v>46099.520266203705</v>
      </c>
      <c r="C557" t="s">
        <v>184</v>
      </c>
      <c r="D557" t="s">
        <v>9</v>
      </c>
      <c r="E557" t="s">
        <v>1</v>
      </c>
      <c r="F557" t="s">
        <v>26</v>
      </c>
      <c r="G557" t="s">
        <v>19</v>
      </c>
      <c r="H557" s="2" t="s">
        <v>1333</v>
      </c>
      <c r="I557" t="s">
        <v>214</v>
      </c>
      <c r="J557" t="s">
        <v>75</v>
      </c>
      <c r="K557" t="s">
        <v>81</v>
      </c>
      <c r="L557" t="s">
        <v>214</v>
      </c>
      <c r="N557">
        <v>0</v>
      </c>
      <c r="P557" t="s">
        <v>97</v>
      </c>
      <c r="R557" t="s">
        <v>125</v>
      </c>
    </row>
    <row r="558" spans="1:18" ht="15" customHeight="1">
      <c r="A558" t="s">
        <v>1334</v>
      </c>
      <c r="B558" s="1">
        <v>46099.539594907408</v>
      </c>
      <c r="C558" t="s">
        <v>393</v>
      </c>
      <c r="D558" t="s">
        <v>9</v>
      </c>
      <c r="E558" t="s">
        <v>1</v>
      </c>
      <c r="F558" t="s">
        <v>36</v>
      </c>
      <c r="G558" t="s">
        <v>11</v>
      </c>
      <c r="H558" s="2" t="s">
        <v>1335</v>
      </c>
      <c r="I558" t="s">
        <v>337</v>
      </c>
      <c r="J558" t="s">
        <v>75</v>
      </c>
      <c r="K558" t="s">
        <v>81</v>
      </c>
      <c r="L558" t="s">
        <v>337</v>
      </c>
      <c r="N558">
        <v>0</v>
      </c>
      <c r="P558" t="s">
        <v>97</v>
      </c>
      <c r="Q558" t="s">
        <v>98</v>
      </c>
      <c r="R558" t="s">
        <v>780</v>
      </c>
    </row>
    <row r="559" spans="1:18" ht="15" customHeight="1">
      <c r="A559" t="s">
        <v>1336</v>
      </c>
      <c r="B559" s="1">
        <v>46099.656053240738</v>
      </c>
      <c r="C559" t="s">
        <v>61</v>
      </c>
      <c r="D559" t="s">
        <v>9</v>
      </c>
      <c r="E559" t="s">
        <v>1</v>
      </c>
      <c r="F559" t="s">
        <v>43</v>
      </c>
      <c r="G559" t="s">
        <v>11</v>
      </c>
      <c r="H559" s="2" t="s">
        <v>1337</v>
      </c>
      <c r="I559" t="s">
        <v>1338</v>
      </c>
      <c r="J559" t="s">
        <v>75</v>
      </c>
      <c r="K559" t="s">
        <v>81</v>
      </c>
      <c r="L559" t="s">
        <v>1338</v>
      </c>
      <c r="N559">
        <v>0</v>
      </c>
      <c r="O559" s="1">
        <v>46105.424143518518</v>
      </c>
      <c r="P559" t="s">
        <v>82</v>
      </c>
      <c r="Q559" t="s">
        <v>69</v>
      </c>
      <c r="R559" t="s">
        <v>125</v>
      </c>
    </row>
    <row r="560" spans="1:18" ht="15" customHeight="1">
      <c r="A560" t="s">
        <v>1339</v>
      </c>
      <c r="B560" s="1">
        <v>46099.666041666664</v>
      </c>
      <c r="C560" t="s">
        <v>294</v>
      </c>
      <c r="D560" t="s">
        <v>9</v>
      </c>
      <c r="E560" t="s">
        <v>1</v>
      </c>
      <c r="F560" t="s">
        <v>36</v>
      </c>
      <c r="G560" t="s">
        <v>11</v>
      </c>
      <c r="H560" s="2" t="s">
        <v>1340</v>
      </c>
      <c r="I560" t="s">
        <v>113</v>
      </c>
      <c r="J560" t="s">
        <v>75</v>
      </c>
      <c r="K560" t="s">
        <v>81</v>
      </c>
      <c r="L560" t="s">
        <v>113</v>
      </c>
      <c r="N560">
        <v>0</v>
      </c>
      <c r="P560" t="s">
        <v>97</v>
      </c>
      <c r="Q560" t="s">
        <v>69</v>
      </c>
      <c r="R560" t="s">
        <v>77</v>
      </c>
    </row>
    <row r="561" spans="1:18" ht="15" customHeight="1">
      <c r="A561" t="s">
        <v>1341</v>
      </c>
      <c r="B561" s="1">
        <v>46099.68378472222</v>
      </c>
      <c r="C561" t="s">
        <v>61</v>
      </c>
      <c r="D561" t="s">
        <v>9</v>
      </c>
      <c r="E561" t="s">
        <v>1</v>
      </c>
      <c r="F561" t="s">
        <v>36</v>
      </c>
      <c r="G561" t="s">
        <v>11</v>
      </c>
      <c r="H561" s="2" t="s">
        <v>1342</v>
      </c>
      <c r="I561" t="s">
        <v>113</v>
      </c>
      <c r="J561" t="s">
        <v>75</v>
      </c>
      <c r="K561" t="s">
        <v>81</v>
      </c>
      <c r="L561" t="s">
        <v>113</v>
      </c>
      <c r="N561">
        <v>0</v>
      </c>
      <c r="O561" s="1">
        <v>46100.466469907406</v>
      </c>
      <c r="P561" t="s">
        <v>82</v>
      </c>
      <c r="Q561" t="s">
        <v>117</v>
      </c>
      <c r="R561" t="s">
        <v>125</v>
      </c>
    </row>
    <row r="562" spans="1:18" ht="15" customHeight="1">
      <c r="A562" t="s">
        <v>1343</v>
      </c>
      <c r="B562" s="1">
        <v>46099.722638888888</v>
      </c>
      <c r="C562" t="s">
        <v>184</v>
      </c>
      <c r="D562" t="s">
        <v>9</v>
      </c>
      <c r="E562" t="s">
        <v>1</v>
      </c>
      <c r="F562" t="s">
        <v>41</v>
      </c>
      <c r="G562" t="s">
        <v>19</v>
      </c>
      <c r="H562" s="2" t="s">
        <v>1344</v>
      </c>
      <c r="I562" t="s">
        <v>167</v>
      </c>
      <c r="J562" t="s">
        <v>75</v>
      </c>
      <c r="K562" t="s">
        <v>76</v>
      </c>
      <c r="L562" t="s">
        <v>167</v>
      </c>
      <c r="N562">
        <v>0</v>
      </c>
      <c r="P562" t="s">
        <v>97</v>
      </c>
      <c r="R562" t="s">
        <v>167</v>
      </c>
    </row>
    <row r="563" spans="1:18" ht="15" customHeight="1">
      <c r="A563" t="s">
        <v>1345</v>
      </c>
      <c r="B563" s="1">
        <v>46099.811886574076</v>
      </c>
      <c r="C563" t="s">
        <v>549</v>
      </c>
      <c r="D563" t="s">
        <v>9</v>
      </c>
      <c r="E563" t="s">
        <v>1</v>
      </c>
      <c r="F563" t="s">
        <v>37</v>
      </c>
      <c r="G563" t="s">
        <v>14</v>
      </c>
      <c r="H563" s="2" t="s">
        <v>1346</v>
      </c>
      <c r="I563" t="s">
        <v>202</v>
      </c>
      <c r="J563" t="s">
        <v>75</v>
      </c>
      <c r="K563" t="s">
        <v>81</v>
      </c>
      <c r="L563" t="s">
        <v>202</v>
      </c>
      <c r="N563">
        <v>0</v>
      </c>
      <c r="O563" s="1">
        <v>46105.488333333335</v>
      </c>
      <c r="P563" t="s">
        <v>97</v>
      </c>
      <c r="Q563" t="s">
        <v>117</v>
      </c>
      <c r="R563" t="s">
        <v>155</v>
      </c>
    </row>
    <row r="564" spans="1:18" ht="15" customHeight="1">
      <c r="A564" t="s">
        <v>1347</v>
      </c>
      <c r="B564" s="1">
        <v>46100.275891203702</v>
      </c>
      <c r="C564" t="s">
        <v>61</v>
      </c>
      <c r="D564" t="s">
        <v>62</v>
      </c>
      <c r="E564" t="s">
        <v>63</v>
      </c>
      <c r="H564" s="2" t="s">
        <v>1348</v>
      </c>
      <c r="I564" t="s">
        <v>691</v>
      </c>
      <c r="J564" t="s">
        <v>66</v>
      </c>
      <c r="K564" t="s">
        <v>67</v>
      </c>
      <c r="L564" t="s">
        <v>691</v>
      </c>
      <c r="N564">
        <v>0</v>
      </c>
      <c r="O564" s="1">
        <v>46100.517199074071</v>
      </c>
      <c r="P564" t="s">
        <v>97</v>
      </c>
      <c r="Q564" t="s">
        <v>331</v>
      </c>
      <c r="R564" t="s">
        <v>691</v>
      </c>
    </row>
    <row r="565" spans="1:18" ht="15" customHeight="1">
      <c r="A565" t="s">
        <v>1349</v>
      </c>
      <c r="B565" s="1">
        <v>46100.275995370372</v>
      </c>
      <c r="C565" t="s">
        <v>61</v>
      </c>
      <c r="D565" t="s">
        <v>62</v>
      </c>
      <c r="E565" t="s">
        <v>63</v>
      </c>
      <c r="H565" t="s">
        <v>1350</v>
      </c>
      <c r="I565" t="s">
        <v>403</v>
      </c>
      <c r="J565" t="s">
        <v>66</v>
      </c>
      <c r="K565" t="s">
        <v>67</v>
      </c>
      <c r="L565" t="s">
        <v>403</v>
      </c>
      <c r="N565">
        <v>0</v>
      </c>
      <c r="O565" s="1">
        <v>46100.519004629627</v>
      </c>
      <c r="P565" t="s">
        <v>97</v>
      </c>
      <c r="Q565" t="s">
        <v>69</v>
      </c>
      <c r="R565" t="s">
        <v>403</v>
      </c>
    </row>
    <row r="566" spans="1:18" ht="15" customHeight="1">
      <c r="A566" t="s">
        <v>1351</v>
      </c>
      <c r="B566" s="1">
        <v>46100.357418981483</v>
      </c>
      <c r="C566" t="s">
        <v>61</v>
      </c>
      <c r="D566" t="s">
        <v>9</v>
      </c>
      <c r="E566" t="s">
        <v>63</v>
      </c>
      <c r="H566" s="2" t="s">
        <v>1352</v>
      </c>
      <c r="I566" t="s">
        <v>1353</v>
      </c>
      <c r="J566" t="s">
        <v>75</v>
      </c>
      <c r="K566" t="s">
        <v>81</v>
      </c>
      <c r="L566" t="s">
        <v>1353</v>
      </c>
      <c r="N566">
        <v>0</v>
      </c>
      <c r="O566" s="1">
        <v>46105.400625000002</v>
      </c>
      <c r="P566" t="s">
        <v>82</v>
      </c>
      <c r="Q566" t="s">
        <v>69</v>
      </c>
      <c r="R566" t="s">
        <v>77</v>
      </c>
    </row>
    <row r="567" spans="1:18" ht="15" customHeight="1">
      <c r="A567" t="s">
        <v>1354</v>
      </c>
      <c r="B567" s="1">
        <v>46100.458298611113</v>
      </c>
      <c r="C567" t="s">
        <v>425</v>
      </c>
      <c r="D567" t="s">
        <v>9</v>
      </c>
      <c r="E567" t="s">
        <v>1</v>
      </c>
      <c r="F567" t="s">
        <v>13</v>
      </c>
      <c r="G567" t="s">
        <v>13</v>
      </c>
      <c r="H567" s="2" t="s">
        <v>1355</v>
      </c>
      <c r="I567" t="s">
        <v>1142</v>
      </c>
      <c r="J567" t="s">
        <v>96</v>
      </c>
      <c r="K567" t="s">
        <v>76</v>
      </c>
      <c r="L567" t="s">
        <v>1142</v>
      </c>
      <c r="N567">
        <v>0</v>
      </c>
      <c r="O567" s="1">
        <v>46106.303981481484</v>
      </c>
      <c r="P567" t="s">
        <v>97</v>
      </c>
      <c r="Q567" t="s">
        <v>211</v>
      </c>
      <c r="R567" t="s">
        <v>1142</v>
      </c>
    </row>
    <row r="568" spans="1:18" ht="15" customHeight="1">
      <c r="A568" t="s">
        <v>1356</v>
      </c>
      <c r="B568" s="1">
        <v>46100.476701388892</v>
      </c>
      <c r="C568" t="s">
        <v>61</v>
      </c>
      <c r="D568" t="s">
        <v>9</v>
      </c>
      <c r="E568" t="s">
        <v>63</v>
      </c>
      <c r="H568" t="s">
        <v>1357</v>
      </c>
      <c r="I568" t="s">
        <v>904</v>
      </c>
      <c r="J568" t="s">
        <v>75</v>
      </c>
      <c r="K568" t="s">
        <v>76</v>
      </c>
      <c r="L568" t="s">
        <v>904</v>
      </c>
      <c r="N568">
        <v>1</v>
      </c>
      <c r="O568" s="1">
        <v>46100.479675925926</v>
      </c>
      <c r="Q568" t="s">
        <v>147</v>
      </c>
      <c r="R568" t="s">
        <v>83</v>
      </c>
    </row>
    <row r="569" spans="1:18" ht="15" customHeight="1">
      <c r="A569" t="s">
        <v>1358</v>
      </c>
      <c r="B569" s="1">
        <v>46100.561967592592</v>
      </c>
      <c r="C569" t="s">
        <v>184</v>
      </c>
      <c r="D569" t="s">
        <v>9</v>
      </c>
      <c r="E569" t="s">
        <v>1</v>
      </c>
      <c r="F569" t="s">
        <v>27</v>
      </c>
      <c r="G569" t="s">
        <v>19</v>
      </c>
      <c r="H569" s="2" t="s">
        <v>1359</v>
      </c>
      <c r="I569" t="s">
        <v>90</v>
      </c>
      <c r="J569" t="s">
        <v>75</v>
      </c>
      <c r="K569" t="s">
        <v>81</v>
      </c>
      <c r="L569" t="s">
        <v>90</v>
      </c>
      <c r="N569">
        <v>0</v>
      </c>
      <c r="P569" t="s">
        <v>97</v>
      </c>
      <c r="R569" t="s">
        <v>77</v>
      </c>
    </row>
    <row r="570" spans="1:18" ht="15" customHeight="1">
      <c r="A570" t="s">
        <v>1360</v>
      </c>
      <c r="B570" s="1">
        <v>46100.66128472222</v>
      </c>
      <c r="C570" t="s">
        <v>61</v>
      </c>
      <c r="D570" t="s">
        <v>9</v>
      </c>
      <c r="E570" t="s">
        <v>63</v>
      </c>
      <c r="H570" s="2" t="s">
        <v>1361</v>
      </c>
      <c r="I570" t="s">
        <v>121</v>
      </c>
      <c r="J570" t="s">
        <v>75</v>
      </c>
      <c r="K570" t="s">
        <v>76</v>
      </c>
      <c r="L570" t="s">
        <v>121</v>
      </c>
      <c r="N570">
        <v>1</v>
      </c>
      <c r="O570" s="1">
        <v>46100.665810185186</v>
      </c>
      <c r="Q570" t="s">
        <v>69</v>
      </c>
      <c r="R570" t="s">
        <v>1264</v>
      </c>
    </row>
    <row r="571" spans="1:18" ht="15" customHeight="1">
      <c r="A571" t="s">
        <v>1362</v>
      </c>
      <c r="B571" s="1">
        <v>46100.683032407411</v>
      </c>
      <c r="C571" t="s">
        <v>61</v>
      </c>
      <c r="D571" t="s">
        <v>9</v>
      </c>
      <c r="E571" t="s">
        <v>63</v>
      </c>
      <c r="H571" s="2" t="s">
        <v>1363</v>
      </c>
      <c r="I571" t="s">
        <v>121</v>
      </c>
      <c r="J571" t="s">
        <v>75</v>
      </c>
      <c r="K571" t="s">
        <v>76</v>
      </c>
      <c r="L571" t="s">
        <v>121</v>
      </c>
      <c r="N571">
        <v>1</v>
      </c>
      <c r="O571" s="1">
        <v>46100.689375000002</v>
      </c>
      <c r="Q571" t="s">
        <v>69</v>
      </c>
      <c r="R571" t="s">
        <v>589</v>
      </c>
    </row>
    <row r="572" spans="1:18" ht="15" customHeight="1">
      <c r="A572" t="s">
        <v>1364</v>
      </c>
      <c r="B572" s="1">
        <v>46101.397407407407</v>
      </c>
      <c r="C572" t="s">
        <v>61</v>
      </c>
      <c r="D572" t="s">
        <v>9</v>
      </c>
      <c r="E572" t="s">
        <v>63</v>
      </c>
      <c r="H572" t="s">
        <v>1365</v>
      </c>
      <c r="I572" t="s">
        <v>1119</v>
      </c>
      <c r="J572" t="s">
        <v>66</v>
      </c>
      <c r="K572" t="s">
        <v>76</v>
      </c>
      <c r="L572" t="s">
        <v>1119</v>
      </c>
      <c r="N572">
        <v>1</v>
      </c>
      <c r="O572" s="1">
        <v>46101.398877314816</v>
      </c>
      <c r="Q572" t="s">
        <v>69</v>
      </c>
      <c r="R572" t="s">
        <v>354</v>
      </c>
    </row>
    <row r="573" spans="1:18" ht="15" customHeight="1">
      <c r="A573" t="s">
        <v>1366</v>
      </c>
      <c r="B573" s="1">
        <v>46101.403391203705</v>
      </c>
      <c r="C573" t="s">
        <v>61</v>
      </c>
      <c r="D573" t="s">
        <v>9</v>
      </c>
      <c r="E573" t="s">
        <v>1</v>
      </c>
      <c r="F573" t="s">
        <v>36</v>
      </c>
      <c r="G573" t="s">
        <v>11</v>
      </c>
      <c r="H573" s="2" t="s">
        <v>1367</v>
      </c>
      <c r="I573" t="s">
        <v>113</v>
      </c>
      <c r="J573" t="s">
        <v>75</v>
      </c>
      <c r="K573" t="s">
        <v>76</v>
      </c>
      <c r="L573" t="s">
        <v>113</v>
      </c>
      <c r="N573">
        <v>0</v>
      </c>
      <c r="O573" s="1">
        <v>46104.735567129632</v>
      </c>
      <c r="P573" t="s">
        <v>82</v>
      </c>
      <c r="Q573" t="s">
        <v>69</v>
      </c>
      <c r="R573" t="s">
        <v>125</v>
      </c>
    </row>
    <row r="574" spans="1:18" ht="15" customHeight="1">
      <c r="A574" t="s">
        <v>1368</v>
      </c>
      <c r="B574" s="1">
        <v>46101.633645833332</v>
      </c>
      <c r="C574" t="s">
        <v>61</v>
      </c>
      <c r="D574" t="s">
        <v>9</v>
      </c>
      <c r="E574" t="s">
        <v>63</v>
      </c>
      <c r="H574" t="s">
        <v>1369</v>
      </c>
      <c r="I574" t="s">
        <v>435</v>
      </c>
      <c r="J574" t="s">
        <v>75</v>
      </c>
      <c r="K574" t="s">
        <v>76</v>
      </c>
      <c r="L574" t="s">
        <v>435</v>
      </c>
      <c r="N574">
        <v>1</v>
      </c>
      <c r="O574" s="1">
        <v>46101.640150462961</v>
      </c>
      <c r="Q574" t="s">
        <v>147</v>
      </c>
      <c r="R574" t="s">
        <v>92</v>
      </c>
    </row>
    <row r="575" spans="1:18" ht="15" customHeight="1">
      <c r="A575" t="s">
        <v>1370</v>
      </c>
      <c r="B575" s="1">
        <v>46101.663078703707</v>
      </c>
      <c r="C575" t="s">
        <v>61</v>
      </c>
      <c r="D575" t="s">
        <v>9</v>
      </c>
      <c r="E575" t="s">
        <v>1</v>
      </c>
      <c r="F575" t="s">
        <v>37</v>
      </c>
      <c r="G575" t="s">
        <v>21</v>
      </c>
      <c r="H575" t="s">
        <v>1371</v>
      </c>
      <c r="I575" t="s">
        <v>154</v>
      </c>
      <c r="J575" t="s">
        <v>75</v>
      </c>
      <c r="K575" t="s">
        <v>81</v>
      </c>
      <c r="L575" t="s">
        <v>154</v>
      </c>
      <c r="N575">
        <v>0</v>
      </c>
      <c r="O575" s="1">
        <v>46104.447314814817</v>
      </c>
      <c r="P575" t="s">
        <v>82</v>
      </c>
      <c r="Q575" t="s">
        <v>211</v>
      </c>
      <c r="R575" t="s">
        <v>83</v>
      </c>
    </row>
    <row r="576" spans="1:18" ht="15" customHeight="1">
      <c r="A576" t="s">
        <v>1372</v>
      </c>
      <c r="B576" s="1">
        <v>46101.675219907411</v>
      </c>
      <c r="C576" t="s">
        <v>61</v>
      </c>
      <c r="D576" t="s">
        <v>9</v>
      </c>
      <c r="E576" t="s">
        <v>1</v>
      </c>
      <c r="F576" t="s">
        <v>29</v>
      </c>
      <c r="G576" t="s">
        <v>21</v>
      </c>
      <c r="H576" s="2" t="s">
        <v>1373</v>
      </c>
      <c r="I576" t="s">
        <v>389</v>
      </c>
      <c r="J576" t="s">
        <v>75</v>
      </c>
      <c r="K576" t="s">
        <v>76</v>
      </c>
      <c r="L576" t="s">
        <v>389</v>
      </c>
      <c r="N576">
        <v>0</v>
      </c>
      <c r="O576" s="1">
        <v>46105.405243055553</v>
      </c>
      <c r="P576" t="s">
        <v>82</v>
      </c>
      <c r="Q576" t="s">
        <v>211</v>
      </c>
      <c r="R576" t="s">
        <v>780</v>
      </c>
    </row>
    <row r="577" spans="1:18" ht="15" customHeight="1">
      <c r="A577" t="s">
        <v>1374</v>
      </c>
      <c r="B577" s="1">
        <v>46101.675868055558</v>
      </c>
      <c r="C577" t="s">
        <v>61</v>
      </c>
      <c r="D577" t="s">
        <v>9</v>
      </c>
      <c r="E577" t="s">
        <v>1</v>
      </c>
      <c r="F577" t="s">
        <v>37</v>
      </c>
      <c r="G577" t="s">
        <v>11</v>
      </c>
      <c r="H577" s="2" t="s">
        <v>1375</v>
      </c>
      <c r="I577" t="s">
        <v>229</v>
      </c>
      <c r="J577" t="s">
        <v>75</v>
      </c>
      <c r="K577" t="s">
        <v>81</v>
      </c>
      <c r="L577" t="s">
        <v>229</v>
      </c>
      <c r="N577">
        <v>0</v>
      </c>
      <c r="O577" s="1">
        <v>46105.651504629626</v>
      </c>
      <c r="P577" t="s">
        <v>82</v>
      </c>
      <c r="Q577" t="s">
        <v>69</v>
      </c>
      <c r="R577" t="s">
        <v>125</v>
      </c>
    </row>
    <row r="578" spans="1:18" ht="15" customHeight="1">
      <c r="A578" t="s">
        <v>1376</v>
      </c>
      <c r="B578" s="1">
        <v>46101.686307870368</v>
      </c>
      <c r="C578" t="s">
        <v>184</v>
      </c>
      <c r="D578" t="s">
        <v>9</v>
      </c>
      <c r="E578" t="s">
        <v>1</v>
      </c>
      <c r="F578" t="s">
        <v>33</v>
      </c>
      <c r="G578" t="s">
        <v>19</v>
      </c>
      <c r="H578" s="2" t="s">
        <v>1377</v>
      </c>
      <c r="I578" t="s">
        <v>1378</v>
      </c>
      <c r="J578" t="s">
        <v>75</v>
      </c>
      <c r="K578" t="s">
        <v>81</v>
      </c>
      <c r="L578" t="s">
        <v>1378</v>
      </c>
      <c r="N578">
        <v>0</v>
      </c>
      <c r="P578" t="s">
        <v>97</v>
      </c>
      <c r="R578" t="s">
        <v>125</v>
      </c>
    </row>
    <row r="579" spans="1:18" ht="15" customHeight="1">
      <c r="A579" t="s">
        <v>1379</v>
      </c>
      <c r="B579" s="1">
        <v>46101.688576388886</v>
      </c>
      <c r="C579" t="s">
        <v>61</v>
      </c>
      <c r="D579" t="s">
        <v>9</v>
      </c>
      <c r="E579" t="s">
        <v>1</v>
      </c>
      <c r="F579" t="s">
        <v>26</v>
      </c>
      <c r="G579" t="s">
        <v>14</v>
      </c>
      <c r="H579" s="2" t="s">
        <v>1380</v>
      </c>
      <c r="I579" t="s">
        <v>214</v>
      </c>
      <c r="J579" t="s">
        <v>75</v>
      </c>
      <c r="K579" t="s">
        <v>81</v>
      </c>
      <c r="L579" t="s">
        <v>214</v>
      </c>
      <c r="N579">
        <v>0</v>
      </c>
      <c r="O579" s="1">
        <v>46105.656446759262</v>
      </c>
      <c r="P579" t="s">
        <v>82</v>
      </c>
      <c r="Q579" t="s">
        <v>69</v>
      </c>
      <c r="R579" t="s">
        <v>125</v>
      </c>
    </row>
    <row r="580" spans="1:18" ht="15" customHeight="1">
      <c r="A580" t="s">
        <v>1381</v>
      </c>
      <c r="B580" s="1">
        <v>46104.425381944442</v>
      </c>
      <c r="C580" t="s">
        <v>61</v>
      </c>
      <c r="D580" t="s">
        <v>9</v>
      </c>
      <c r="E580" t="s">
        <v>63</v>
      </c>
      <c r="H580" s="2" t="s">
        <v>1382</v>
      </c>
      <c r="I580" t="s">
        <v>1383</v>
      </c>
      <c r="J580" t="s">
        <v>75</v>
      </c>
      <c r="K580" t="s">
        <v>76</v>
      </c>
      <c r="L580" t="s">
        <v>1383</v>
      </c>
      <c r="N580">
        <v>0</v>
      </c>
      <c r="O580" s="1">
        <v>46104.472291666665</v>
      </c>
      <c r="P580" t="s">
        <v>91</v>
      </c>
      <c r="Q580" t="s">
        <v>147</v>
      </c>
      <c r="R580" t="s">
        <v>77</v>
      </c>
    </row>
    <row r="581" spans="1:18" ht="15" customHeight="1">
      <c r="A581" t="s">
        <v>1384</v>
      </c>
      <c r="B581" s="1">
        <v>46104.554131944446</v>
      </c>
      <c r="C581" t="s">
        <v>184</v>
      </c>
      <c r="D581" t="s">
        <v>9</v>
      </c>
      <c r="E581" t="s">
        <v>1</v>
      </c>
      <c r="F581" t="s">
        <v>32</v>
      </c>
      <c r="G581" t="s">
        <v>19</v>
      </c>
      <c r="H581" s="2" t="s">
        <v>1385</v>
      </c>
      <c r="I581" t="s">
        <v>395</v>
      </c>
      <c r="J581" t="s">
        <v>75</v>
      </c>
      <c r="K581" t="s">
        <v>81</v>
      </c>
      <c r="L581" t="s">
        <v>395</v>
      </c>
      <c r="N581">
        <v>0</v>
      </c>
      <c r="P581" t="s">
        <v>97</v>
      </c>
      <c r="R581" t="s">
        <v>125</v>
      </c>
    </row>
    <row r="582" spans="1:18" ht="15" customHeight="1">
      <c r="A582" t="s">
        <v>1386</v>
      </c>
      <c r="B582" s="1">
        <v>46104.583761574075</v>
      </c>
      <c r="C582" t="s">
        <v>61</v>
      </c>
      <c r="D582" t="s">
        <v>9</v>
      </c>
      <c r="E582" t="s">
        <v>63</v>
      </c>
      <c r="H582" s="2" t="s">
        <v>1387</v>
      </c>
      <c r="I582" t="s">
        <v>981</v>
      </c>
      <c r="J582" t="s">
        <v>75</v>
      </c>
      <c r="K582" t="s">
        <v>76</v>
      </c>
      <c r="L582" t="s">
        <v>981</v>
      </c>
      <c r="N582">
        <v>1</v>
      </c>
      <c r="O582" s="1">
        <v>46104.585509259261</v>
      </c>
      <c r="Q582" t="s">
        <v>69</v>
      </c>
      <c r="R582" t="s">
        <v>589</v>
      </c>
    </row>
    <row r="583" spans="1:18" ht="15" customHeight="1">
      <c r="A583" t="s">
        <v>1388</v>
      </c>
      <c r="B583" s="1">
        <v>46104.583865740744</v>
      </c>
      <c r="C583" t="s">
        <v>61</v>
      </c>
      <c r="D583" t="s">
        <v>9</v>
      </c>
      <c r="E583" t="s">
        <v>63</v>
      </c>
      <c r="H583" t="s">
        <v>171</v>
      </c>
      <c r="I583" t="s">
        <v>86</v>
      </c>
      <c r="J583" t="s">
        <v>75</v>
      </c>
      <c r="K583" t="s">
        <v>76</v>
      </c>
      <c r="L583" t="s">
        <v>86</v>
      </c>
      <c r="N583">
        <v>1</v>
      </c>
      <c r="O583" s="1">
        <v>46104.58489583333</v>
      </c>
      <c r="Q583" t="s">
        <v>69</v>
      </c>
      <c r="R583" t="s">
        <v>83</v>
      </c>
    </row>
    <row r="584" spans="1:18" ht="15" customHeight="1">
      <c r="A584" t="s">
        <v>1389</v>
      </c>
      <c r="B584" s="1">
        <v>46104.587511574071</v>
      </c>
      <c r="C584" t="s">
        <v>61</v>
      </c>
      <c r="D584" t="s">
        <v>9</v>
      </c>
      <c r="E584" t="s">
        <v>63</v>
      </c>
      <c r="H584" t="s">
        <v>675</v>
      </c>
      <c r="I584" t="s">
        <v>981</v>
      </c>
      <c r="J584" t="s">
        <v>75</v>
      </c>
      <c r="K584" t="s">
        <v>76</v>
      </c>
      <c r="L584" t="s">
        <v>981</v>
      </c>
      <c r="N584">
        <v>1</v>
      </c>
      <c r="O584" s="1">
        <v>46104.589328703703</v>
      </c>
      <c r="Q584" t="s">
        <v>147</v>
      </c>
      <c r="R584" t="s">
        <v>125</v>
      </c>
    </row>
    <row r="585" spans="1:18" ht="15" customHeight="1">
      <c r="A585" t="s">
        <v>1390</v>
      </c>
      <c r="B585" s="1">
        <v>46104.691064814811</v>
      </c>
      <c r="C585" t="s">
        <v>61</v>
      </c>
      <c r="D585" t="s">
        <v>9</v>
      </c>
      <c r="E585" t="s">
        <v>1</v>
      </c>
      <c r="F585" t="s">
        <v>28</v>
      </c>
      <c r="G585" t="s">
        <v>21</v>
      </c>
      <c r="H585" s="2" t="s">
        <v>1391</v>
      </c>
      <c r="I585" t="s">
        <v>427</v>
      </c>
      <c r="J585" t="s">
        <v>75</v>
      </c>
      <c r="K585" t="s">
        <v>81</v>
      </c>
      <c r="L585" t="s">
        <v>427</v>
      </c>
      <c r="N585">
        <v>0</v>
      </c>
      <c r="O585" s="1">
        <v>46104.716574074075</v>
      </c>
      <c r="P585" t="s">
        <v>82</v>
      </c>
      <c r="Q585" t="s">
        <v>69</v>
      </c>
      <c r="R585" t="s">
        <v>92</v>
      </c>
    </row>
    <row r="586" spans="1:18" ht="15" customHeight="1">
      <c r="A586" t="s">
        <v>1392</v>
      </c>
      <c r="B586" s="1">
        <v>46104.703402777777</v>
      </c>
      <c r="C586" t="s">
        <v>61</v>
      </c>
      <c r="D586" t="s">
        <v>9</v>
      </c>
      <c r="E586" t="s">
        <v>1</v>
      </c>
      <c r="F586" t="s">
        <v>37</v>
      </c>
      <c r="G586" t="s">
        <v>11</v>
      </c>
      <c r="H586" s="2" t="s">
        <v>1393</v>
      </c>
      <c r="I586" t="s">
        <v>540</v>
      </c>
      <c r="J586" t="s">
        <v>75</v>
      </c>
      <c r="K586" t="s">
        <v>81</v>
      </c>
      <c r="L586" t="s">
        <v>540</v>
      </c>
      <c r="N586">
        <v>0</v>
      </c>
      <c r="O586" s="1">
        <v>46106.481307870374</v>
      </c>
      <c r="P586" t="s">
        <v>82</v>
      </c>
      <c r="Q586" t="s">
        <v>340</v>
      </c>
      <c r="R586" t="s">
        <v>77</v>
      </c>
    </row>
    <row r="587" spans="1:18" ht="15" customHeight="1">
      <c r="A587" t="s">
        <v>1394</v>
      </c>
      <c r="B587" s="1">
        <v>46104.757534722223</v>
      </c>
      <c r="C587" t="s">
        <v>184</v>
      </c>
      <c r="D587" t="s">
        <v>9</v>
      </c>
      <c r="E587" t="s">
        <v>1</v>
      </c>
      <c r="F587" t="s">
        <v>28</v>
      </c>
      <c r="G587" t="s">
        <v>17</v>
      </c>
      <c r="H587" s="2" t="s">
        <v>1395</v>
      </c>
      <c r="I587" t="s">
        <v>427</v>
      </c>
      <c r="J587" t="s">
        <v>75</v>
      </c>
      <c r="K587" t="s">
        <v>81</v>
      </c>
      <c r="L587" t="s">
        <v>427</v>
      </c>
      <c r="N587">
        <v>0</v>
      </c>
      <c r="P587" t="s">
        <v>97</v>
      </c>
      <c r="R587" t="s">
        <v>589</v>
      </c>
    </row>
    <row r="588" spans="1:18" ht="15" customHeight="1">
      <c r="A588" t="s">
        <v>1396</v>
      </c>
      <c r="B588" s="1">
        <v>46104.760081018518</v>
      </c>
      <c r="C588" t="s">
        <v>294</v>
      </c>
      <c r="D588" t="s">
        <v>9</v>
      </c>
      <c r="E588" t="s">
        <v>1</v>
      </c>
      <c r="F588" t="s">
        <v>35</v>
      </c>
      <c r="G588" t="s">
        <v>19</v>
      </c>
      <c r="H588" s="2" t="s">
        <v>1397</v>
      </c>
      <c r="I588" t="s">
        <v>485</v>
      </c>
      <c r="J588" t="s">
        <v>75</v>
      </c>
      <c r="K588" t="s">
        <v>81</v>
      </c>
      <c r="L588" t="s">
        <v>485</v>
      </c>
      <c r="N588">
        <v>0</v>
      </c>
      <c r="P588" t="s">
        <v>97</v>
      </c>
      <c r="Q588" t="s">
        <v>276</v>
      </c>
      <c r="R588" t="s">
        <v>589</v>
      </c>
    </row>
    <row r="589" spans="1:18" ht="15" customHeight="1">
      <c r="A589" t="s">
        <v>1398</v>
      </c>
      <c r="B589" s="1">
        <v>46105.42082175926</v>
      </c>
      <c r="C589" t="s">
        <v>61</v>
      </c>
      <c r="D589" t="s">
        <v>9</v>
      </c>
      <c r="E589" t="s">
        <v>1</v>
      </c>
      <c r="F589" t="s">
        <v>41</v>
      </c>
      <c r="G589" t="s">
        <v>18</v>
      </c>
      <c r="H589" s="2" t="s">
        <v>1399</v>
      </c>
      <c r="I589" t="s">
        <v>118</v>
      </c>
      <c r="J589" t="s">
        <v>75</v>
      </c>
      <c r="K589" t="s">
        <v>76</v>
      </c>
      <c r="L589" t="s">
        <v>118</v>
      </c>
      <c r="N589">
        <v>0</v>
      </c>
      <c r="O589" s="1">
        <v>46106.30908564815</v>
      </c>
      <c r="P589" t="s">
        <v>97</v>
      </c>
      <c r="Q589" t="s">
        <v>117</v>
      </c>
      <c r="R589" t="s">
        <v>118</v>
      </c>
    </row>
    <row r="590" spans="1:18" ht="15" customHeight="1">
      <c r="A590" t="s">
        <v>1400</v>
      </c>
      <c r="B590" s="1">
        <v>46105.45590277778</v>
      </c>
      <c r="C590" t="s">
        <v>184</v>
      </c>
      <c r="D590" t="s">
        <v>9</v>
      </c>
      <c r="E590" t="s">
        <v>1</v>
      </c>
      <c r="F590" t="s">
        <v>27</v>
      </c>
      <c r="G590" t="s">
        <v>19</v>
      </c>
      <c r="H590" s="2" t="s">
        <v>1401</v>
      </c>
      <c r="I590" t="s">
        <v>118</v>
      </c>
      <c r="J590" t="s">
        <v>75</v>
      </c>
      <c r="K590" t="s">
        <v>76</v>
      </c>
      <c r="L590" t="s">
        <v>118</v>
      </c>
      <c r="N590">
        <v>0</v>
      </c>
      <c r="P590" t="s">
        <v>97</v>
      </c>
      <c r="R590" t="s">
        <v>118</v>
      </c>
    </row>
    <row r="591" spans="1:18" ht="15" customHeight="1">
      <c r="A591" t="s">
        <v>1402</v>
      </c>
      <c r="B591" s="1">
        <v>46105.51803240741</v>
      </c>
      <c r="C591" t="s">
        <v>184</v>
      </c>
      <c r="D591" t="s">
        <v>9</v>
      </c>
      <c r="E591" t="s">
        <v>1</v>
      </c>
      <c r="F591" t="s">
        <v>35</v>
      </c>
      <c r="G591" t="s">
        <v>12</v>
      </c>
      <c r="H591" s="2" t="s">
        <v>1403</v>
      </c>
      <c r="I591" t="s">
        <v>334</v>
      </c>
      <c r="J591" t="s">
        <v>75</v>
      </c>
      <c r="K591" t="s">
        <v>81</v>
      </c>
      <c r="L591" t="s">
        <v>334</v>
      </c>
      <c r="N591">
        <v>0</v>
      </c>
      <c r="P591" t="s">
        <v>97</v>
      </c>
      <c r="R591" t="s">
        <v>125</v>
      </c>
    </row>
    <row r="592" spans="1:18" ht="15" customHeight="1">
      <c r="A592" t="s">
        <v>1404</v>
      </c>
      <c r="B592" s="1">
        <v>46105.731365740743</v>
      </c>
      <c r="C592" t="s">
        <v>294</v>
      </c>
      <c r="D592" t="s">
        <v>9</v>
      </c>
      <c r="E592" t="s">
        <v>1</v>
      </c>
      <c r="F592" t="s">
        <v>35</v>
      </c>
      <c r="G592" t="s">
        <v>19</v>
      </c>
      <c r="H592" s="2" t="s">
        <v>1405</v>
      </c>
      <c r="I592" t="s">
        <v>485</v>
      </c>
      <c r="J592" t="s">
        <v>75</v>
      </c>
      <c r="K592" t="s">
        <v>76</v>
      </c>
      <c r="L592" t="s">
        <v>485</v>
      </c>
      <c r="N592">
        <v>0</v>
      </c>
      <c r="P592" t="s">
        <v>97</v>
      </c>
      <c r="Q592" t="s">
        <v>276</v>
      </c>
      <c r="R592" t="s">
        <v>118</v>
      </c>
    </row>
    <row r="593" spans="1:18" ht="15" customHeight="1">
      <c r="A593" t="s">
        <v>1406</v>
      </c>
      <c r="B593" s="1">
        <v>46106.477141203701</v>
      </c>
      <c r="C593" t="s">
        <v>165</v>
      </c>
      <c r="D593" t="s">
        <v>9</v>
      </c>
      <c r="E593" t="s">
        <v>1</v>
      </c>
      <c r="F593" t="s">
        <v>40</v>
      </c>
      <c r="G593" t="s">
        <v>11</v>
      </c>
      <c r="H593" s="2" t="s">
        <v>1407</v>
      </c>
      <c r="I593" t="s">
        <v>1408</v>
      </c>
      <c r="J593" t="s">
        <v>75</v>
      </c>
      <c r="K593" t="s">
        <v>81</v>
      </c>
      <c r="L593" t="s">
        <v>1408</v>
      </c>
      <c r="N593">
        <v>0</v>
      </c>
      <c r="P593" t="s">
        <v>82</v>
      </c>
      <c r="R593" t="s">
        <v>77</v>
      </c>
    </row>
    <row r="594" spans="1:18" ht="15" customHeight="1">
      <c r="A594" t="s">
        <v>1409</v>
      </c>
      <c r="B594" s="1">
        <v>46106.48133101852</v>
      </c>
      <c r="C594" t="s">
        <v>61</v>
      </c>
      <c r="D594" t="s">
        <v>9</v>
      </c>
      <c r="E594" t="s">
        <v>63</v>
      </c>
      <c r="H594" s="2" t="s">
        <v>640</v>
      </c>
      <c r="I594" t="s">
        <v>369</v>
      </c>
      <c r="J594" t="s">
        <v>75</v>
      </c>
      <c r="K594" t="s">
        <v>76</v>
      </c>
      <c r="L594" t="s">
        <v>369</v>
      </c>
      <c r="N594">
        <v>1</v>
      </c>
      <c r="O594" s="1">
        <v>46106.483217592591</v>
      </c>
      <c r="Q594" t="s">
        <v>147</v>
      </c>
      <c r="R594" t="s">
        <v>125</v>
      </c>
    </row>
    <row r="595" spans="1:18" ht="15" customHeight="1">
      <c r="A595" t="s">
        <v>1410</v>
      </c>
      <c r="B595" s="1">
        <v>46106.492025462961</v>
      </c>
      <c r="C595" t="s">
        <v>165</v>
      </c>
      <c r="D595" t="s">
        <v>9</v>
      </c>
      <c r="E595" t="s">
        <v>1</v>
      </c>
      <c r="F595" t="s">
        <v>40</v>
      </c>
      <c r="G595" t="s">
        <v>11</v>
      </c>
      <c r="H595" s="2" t="s">
        <v>1411</v>
      </c>
      <c r="I595" t="s">
        <v>1408</v>
      </c>
      <c r="J595" t="s">
        <v>75</v>
      </c>
      <c r="K595" t="s">
        <v>81</v>
      </c>
      <c r="L595" t="s">
        <v>1408</v>
      </c>
      <c r="N595">
        <v>0</v>
      </c>
      <c r="P595" t="s">
        <v>82</v>
      </c>
      <c r="R595" t="s">
        <v>77</v>
      </c>
    </row>
    <row r="596" spans="1:18" ht="15" customHeight="1">
      <c r="A596" t="s">
        <v>1412</v>
      </c>
      <c r="B596" s="1">
        <v>46106.495416666665</v>
      </c>
      <c r="C596" t="s">
        <v>165</v>
      </c>
      <c r="D596" t="s">
        <v>9</v>
      </c>
      <c r="E596" t="s">
        <v>1</v>
      </c>
      <c r="F596" t="s">
        <v>40</v>
      </c>
      <c r="G596" t="s">
        <v>11</v>
      </c>
      <c r="H596" s="2" t="s">
        <v>1413</v>
      </c>
      <c r="I596" t="s">
        <v>1408</v>
      </c>
      <c r="J596" t="s">
        <v>75</v>
      </c>
      <c r="K596" t="s">
        <v>81</v>
      </c>
      <c r="L596" t="s">
        <v>1408</v>
      </c>
      <c r="N596">
        <v>0</v>
      </c>
      <c r="P596" t="s">
        <v>82</v>
      </c>
      <c r="R596" t="s">
        <v>77</v>
      </c>
    </row>
    <row r="597" spans="1:18" ht="15" customHeight="1">
      <c r="A597" t="s">
        <v>1414</v>
      </c>
      <c r="B597" s="1">
        <v>46106.49726851852</v>
      </c>
      <c r="C597" t="s">
        <v>165</v>
      </c>
      <c r="D597" t="s">
        <v>9</v>
      </c>
      <c r="E597" t="s">
        <v>1</v>
      </c>
      <c r="F597" t="s">
        <v>40</v>
      </c>
      <c r="G597" t="s">
        <v>11</v>
      </c>
      <c r="H597" s="2" t="s">
        <v>1415</v>
      </c>
      <c r="I597" t="s">
        <v>1408</v>
      </c>
      <c r="J597" t="s">
        <v>75</v>
      </c>
      <c r="K597" t="s">
        <v>81</v>
      </c>
      <c r="L597" t="s">
        <v>1408</v>
      </c>
      <c r="N597">
        <v>0</v>
      </c>
      <c r="P597" t="s">
        <v>82</v>
      </c>
      <c r="R597" t="s">
        <v>77</v>
      </c>
    </row>
    <row r="598" spans="1:18" ht="15" customHeight="1">
      <c r="A598" t="s">
        <v>1416</v>
      </c>
      <c r="B598" s="1">
        <v>46106.498981481483</v>
      </c>
      <c r="C598" t="s">
        <v>165</v>
      </c>
      <c r="D598" t="s">
        <v>9</v>
      </c>
      <c r="E598" t="s">
        <v>1</v>
      </c>
      <c r="F598" t="s">
        <v>37</v>
      </c>
      <c r="G598" t="s">
        <v>21</v>
      </c>
      <c r="H598" s="2" t="s">
        <v>1417</v>
      </c>
      <c r="I598" t="s">
        <v>101</v>
      </c>
      <c r="J598" t="s">
        <v>75</v>
      </c>
      <c r="K598" t="s">
        <v>81</v>
      </c>
      <c r="L598" t="s">
        <v>101</v>
      </c>
      <c r="N598">
        <v>0</v>
      </c>
      <c r="P598" t="s">
        <v>82</v>
      </c>
      <c r="R598" t="s">
        <v>77</v>
      </c>
    </row>
    <row r="599" spans="1:18" ht="15" customHeight="1">
      <c r="A599" t="s">
        <v>1418</v>
      </c>
      <c r="B599" s="1">
        <v>46106.647337962961</v>
      </c>
      <c r="C599" t="s">
        <v>184</v>
      </c>
      <c r="D599" t="s">
        <v>9</v>
      </c>
      <c r="E599" t="s">
        <v>1</v>
      </c>
      <c r="F599" t="s">
        <v>32</v>
      </c>
      <c r="G599" t="s">
        <v>19</v>
      </c>
      <c r="H599" s="2" t="s">
        <v>1419</v>
      </c>
      <c r="I599" t="s">
        <v>395</v>
      </c>
      <c r="J599" t="s">
        <v>75</v>
      </c>
      <c r="K599" t="s">
        <v>81</v>
      </c>
      <c r="L599" t="s">
        <v>395</v>
      </c>
      <c r="N599">
        <v>0</v>
      </c>
      <c r="P599" t="s">
        <v>97</v>
      </c>
      <c r="R599" t="s">
        <v>77</v>
      </c>
    </row>
    <row r="600" spans="1:18" ht="15" customHeight="1">
      <c r="A600" t="s">
        <v>1420</v>
      </c>
      <c r="B600" s="1">
        <v>46106.711030092592</v>
      </c>
      <c r="C600" t="s">
        <v>184</v>
      </c>
      <c r="D600" t="s">
        <v>9</v>
      </c>
      <c r="E600" t="s">
        <v>1</v>
      </c>
      <c r="F600" t="s">
        <v>28</v>
      </c>
      <c r="G600" t="s">
        <v>12</v>
      </c>
      <c r="H600" s="2" t="s">
        <v>1421</v>
      </c>
      <c r="I600" t="s">
        <v>386</v>
      </c>
      <c r="J600" t="s">
        <v>75</v>
      </c>
      <c r="K600" t="s">
        <v>81</v>
      </c>
      <c r="L600" t="s">
        <v>386</v>
      </c>
      <c r="N600">
        <v>0</v>
      </c>
      <c r="P600" t="s">
        <v>97</v>
      </c>
      <c r="R600" t="s">
        <v>125</v>
      </c>
    </row>
    <row r="601" spans="1:18" ht="15" customHeight="1">
      <c r="A601" t="s">
        <v>1422</v>
      </c>
      <c r="B601" s="1">
        <v>46106.819398148145</v>
      </c>
      <c r="C601" t="s">
        <v>184</v>
      </c>
      <c r="D601" t="s">
        <v>9</v>
      </c>
      <c r="E601" t="s">
        <v>1</v>
      </c>
      <c r="F601" t="s">
        <v>37</v>
      </c>
      <c r="G601" t="s">
        <v>19</v>
      </c>
      <c r="H601" s="2" t="s">
        <v>1423</v>
      </c>
      <c r="I601" t="s">
        <v>154</v>
      </c>
      <c r="J601" t="s">
        <v>75</v>
      </c>
      <c r="K601" t="s">
        <v>81</v>
      </c>
      <c r="L601" t="s">
        <v>154</v>
      </c>
      <c r="N601">
        <v>0</v>
      </c>
      <c r="P601" t="s">
        <v>97</v>
      </c>
      <c r="R601" t="s">
        <v>354</v>
      </c>
    </row>
    <row r="602" spans="1:18" ht="15" customHeight="1">
      <c r="A602" t="s">
        <v>1424</v>
      </c>
      <c r="B602" s="1">
        <v>46107.270069444443</v>
      </c>
      <c r="C602" t="s">
        <v>165</v>
      </c>
      <c r="D602" t="s">
        <v>62</v>
      </c>
      <c r="E602" t="s">
        <v>63</v>
      </c>
      <c r="H602" s="2" t="s">
        <v>1425</v>
      </c>
      <c r="I602" t="s">
        <v>329</v>
      </c>
      <c r="J602" t="s">
        <v>66</v>
      </c>
      <c r="K602" t="s">
        <v>76</v>
      </c>
      <c r="L602" t="s">
        <v>329</v>
      </c>
      <c r="N602">
        <v>0</v>
      </c>
      <c r="P602" t="s">
        <v>68</v>
      </c>
      <c r="R602" t="s">
        <v>329</v>
      </c>
    </row>
    <row r="603" spans="1:18" ht="15" customHeight="1">
      <c r="A603" t="s">
        <v>1426</v>
      </c>
      <c r="B603" s="1">
        <v>46107.27202546296</v>
      </c>
      <c r="C603" t="s">
        <v>165</v>
      </c>
      <c r="D603" t="s">
        <v>62</v>
      </c>
      <c r="E603" t="s">
        <v>63</v>
      </c>
      <c r="H603" s="2" t="s">
        <v>1427</v>
      </c>
      <c r="I603" t="s">
        <v>329</v>
      </c>
      <c r="J603" t="s">
        <v>66</v>
      </c>
      <c r="K603" t="s">
        <v>76</v>
      </c>
      <c r="L603" t="s">
        <v>329</v>
      </c>
      <c r="N603">
        <v>0</v>
      </c>
      <c r="P603" t="s">
        <v>68</v>
      </c>
      <c r="R603" t="s">
        <v>329</v>
      </c>
    </row>
    <row r="604" spans="1:18" ht="15" customHeight="1">
      <c r="A604" t="s">
        <v>1428</v>
      </c>
      <c r="B604" s="1">
        <v>46107.361979166664</v>
      </c>
      <c r="C604" t="s">
        <v>165</v>
      </c>
      <c r="D604" t="s">
        <v>9</v>
      </c>
      <c r="E604" t="s">
        <v>1</v>
      </c>
      <c r="F604" t="s">
        <v>37</v>
      </c>
      <c r="G604" t="s">
        <v>21</v>
      </c>
      <c r="H604" s="2" t="s">
        <v>1429</v>
      </c>
      <c r="I604" t="s">
        <v>202</v>
      </c>
      <c r="J604" t="s">
        <v>75</v>
      </c>
      <c r="K604" t="s">
        <v>81</v>
      </c>
      <c r="L604" t="s">
        <v>202</v>
      </c>
      <c r="N604">
        <v>0</v>
      </c>
      <c r="P604" t="s">
        <v>82</v>
      </c>
      <c r="R604" t="s">
        <v>77</v>
      </c>
    </row>
    <row r="605" spans="1:18" ht="15" customHeight="1">
      <c r="A605" t="s">
        <v>1430</v>
      </c>
      <c r="B605" s="1">
        <v>46107.363715277781</v>
      </c>
      <c r="C605" t="s">
        <v>61</v>
      </c>
      <c r="D605" t="s">
        <v>9</v>
      </c>
      <c r="E605" t="s">
        <v>1</v>
      </c>
      <c r="F605" t="s">
        <v>37</v>
      </c>
      <c r="G605" t="s">
        <v>21</v>
      </c>
      <c r="H605" s="2" t="s">
        <v>1431</v>
      </c>
      <c r="I605" t="s">
        <v>202</v>
      </c>
      <c r="J605" t="s">
        <v>75</v>
      </c>
      <c r="K605" t="s">
        <v>81</v>
      </c>
      <c r="L605" t="s">
        <v>202</v>
      </c>
      <c r="N605">
        <v>0</v>
      </c>
      <c r="O605" s="1">
        <v>46107.520405092589</v>
      </c>
      <c r="P605" t="s">
        <v>82</v>
      </c>
      <c r="Q605" t="s">
        <v>69</v>
      </c>
      <c r="R605" t="s">
        <v>77</v>
      </c>
    </row>
    <row r="606" spans="1:18" ht="15" customHeight="1">
      <c r="A606" t="s">
        <v>1432</v>
      </c>
      <c r="B606" s="1">
        <v>46107.39671296296</v>
      </c>
      <c r="C606" t="s">
        <v>61</v>
      </c>
      <c r="D606" t="s">
        <v>9</v>
      </c>
      <c r="E606" t="s">
        <v>1</v>
      </c>
      <c r="F606" t="s">
        <v>34</v>
      </c>
      <c r="G606" t="s">
        <v>11</v>
      </c>
      <c r="H606" s="2" t="s">
        <v>1433</v>
      </c>
      <c r="I606" t="s">
        <v>309</v>
      </c>
      <c r="J606" t="s">
        <v>75</v>
      </c>
      <c r="K606" t="s">
        <v>81</v>
      </c>
      <c r="L606" t="s">
        <v>309</v>
      </c>
      <c r="N606">
        <v>0</v>
      </c>
      <c r="O606" s="1">
        <v>46107.427870370368</v>
      </c>
      <c r="P606" t="s">
        <v>82</v>
      </c>
      <c r="Q606" t="s">
        <v>69</v>
      </c>
      <c r="R606" t="s">
        <v>77</v>
      </c>
    </row>
    <row r="607" spans="1:18" ht="15" customHeight="1">
      <c r="A607" t="s">
        <v>1434</v>
      </c>
      <c r="B607" s="1">
        <v>46107.449317129627</v>
      </c>
      <c r="C607" t="s">
        <v>61</v>
      </c>
      <c r="D607" t="s">
        <v>9</v>
      </c>
      <c r="E607" t="s">
        <v>1</v>
      </c>
      <c r="F607" t="s">
        <v>26</v>
      </c>
      <c r="G607" t="s">
        <v>11</v>
      </c>
      <c r="H607" s="2" t="s">
        <v>1435</v>
      </c>
      <c r="I607" t="s">
        <v>214</v>
      </c>
      <c r="J607" t="s">
        <v>75</v>
      </c>
      <c r="K607" t="s">
        <v>81</v>
      </c>
      <c r="L607" t="s">
        <v>214</v>
      </c>
      <c r="N607">
        <v>0</v>
      </c>
      <c r="O607" s="1">
        <v>46108.37127314815</v>
      </c>
      <c r="P607" t="s">
        <v>1436</v>
      </c>
      <c r="Q607" t="s">
        <v>98</v>
      </c>
      <c r="R607" t="s">
        <v>77</v>
      </c>
    </row>
    <row r="608" spans="1:18" ht="15" customHeight="1">
      <c r="A608" t="s">
        <v>1437</v>
      </c>
      <c r="B608" s="1">
        <v>46107.451539351852</v>
      </c>
      <c r="C608" t="s">
        <v>61</v>
      </c>
      <c r="D608" t="s">
        <v>9</v>
      </c>
      <c r="E608" t="s">
        <v>63</v>
      </c>
      <c r="H608" s="2" t="s">
        <v>1438</v>
      </c>
      <c r="I608" t="s">
        <v>1439</v>
      </c>
      <c r="J608" t="s">
        <v>75</v>
      </c>
      <c r="K608" t="s">
        <v>76</v>
      </c>
      <c r="L608" t="s">
        <v>1439</v>
      </c>
      <c r="N608">
        <v>0</v>
      </c>
      <c r="O608" s="1">
        <v>46107.612407407411</v>
      </c>
      <c r="P608" t="s">
        <v>91</v>
      </c>
      <c r="Q608" t="s">
        <v>147</v>
      </c>
      <c r="R608" t="s">
        <v>92</v>
      </c>
    </row>
    <row r="609" spans="1:18" ht="15" customHeight="1">
      <c r="A609" t="s">
        <v>1440</v>
      </c>
      <c r="B609" s="1">
        <v>46107.452800925923</v>
      </c>
      <c r="C609" t="s">
        <v>61</v>
      </c>
      <c r="D609" t="s">
        <v>9</v>
      </c>
      <c r="E609" t="s">
        <v>1</v>
      </c>
      <c r="F609" t="s">
        <v>37</v>
      </c>
      <c r="G609" t="s">
        <v>21</v>
      </c>
      <c r="H609" s="2" t="s">
        <v>1441</v>
      </c>
      <c r="I609" t="s">
        <v>101</v>
      </c>
      <c r="J609" t="s">
        <v>75</v>
      </c>
      <c r="K609" t="s">
        <v>81</v>
      </c>
      <c r="L609" t="s">
        <v>101</v>
      </c>
      <c r="N609">
        <v>0</v>
      </c>
      <c r="O609" s="1">
        <v>46107.648148148146</v>
      </c>
      <c r="P609" t="s">
        <v>82</v>
      </c>
      <c r="Q609" t="s">
        <v>69</v>
      </c>
      <c r="R609" t="s">
        <v>77</v>
      </c>
    </row>
    <row r="610" spans="1:18" ht="15" customHeight="1">
      <c r="A610" t="s">
        <v>1442</v>
      </c>
      <c r="B610" s="1">
        <v>46107.459189814814</v>
      </c>
      <c r="C610" t="s">
        <v>61</v>
      </c>
      <c r="D610" t="s">
        <v>9</v>
      </c>
      <c r="E610" t="s">
        <v>1</v>
      </c>
      <c r="F610" t="s">
        <v>29</v>
      </c>
      <c r="G610" t="s">
        <v>21</v>
      </c>
      <c r="H610" s="2" t="s">
        <v>1443</v>
      </c>
      <c r="I610" t="s">
        <v>389</v>
      </c>
      <c r="J610" t="s">
        <v>75</v>
      </c>
      <c r="K610" t="s">
        <v>81</v>
      </c>
      <c r="L610" t="s">
        <v>389</v>
      </c>
      <c r="N610">
        <v>0</v>
      </c>
      <c r="O610" s="1">
        <v>46107.688923611109</v>
      </c>
      <c r="P610" t="s">
        <v>82</v>
      </c>
      <c r="Q610" t="s">
        <v>69</v>
      </c>
      <c r="R610" t="s">
        <v>155</v>
      </c>
    </row>
    <row r="611" spans="1:18" ht="15" customHeight="1">
      <c r="A611" t="s">
        <v>1444</v>
      </c>
      <c r="B611" s="1">
        <v>46107.460694444446</v>
      </c>
      <c r="C611" t="s">
        <v>61</v>
      </c>
      <c r="D611" t="s">
        <v>9</v>
      </c>
      <c r="E611" t="s">
        <v>63</v>
      </c>
      <c r="H611" s="2" t="s">
        <v>1445</v>
      </c>
      <c r="I611" t="s">
        <v>1446</v>
      </c>
      <c r="J611" t="s">
        <v>75</v>
      </c>
      <c r="K611" t="s">
        <v>76</v>
      </c>
      <c r="L611" t="s">
        <v>1446</v>
      </c>
      <c r="N611">
        <v>1</v>
      </c>
      <c r="O611" s="1">
        <v>46107.465428240743</v>
      </c>
      <c r="Q611" t="s">
        <v>1447</v>
      </c>
      <c r="R611" t="s">
        <v>589</v>
      </c>
    </row>
    <row r="612" spans="1:18" ht="15" customHeight="1">
      <c r="A612" t="s">
        <v>1448</v>
      </c>
      <c r="B612" s="1">
        <v>46107.468263888892</v>
      </c>
      <c r="C612" t="s">
        <v>61</v>
      </c>
      <c r="D612" t="s">
        <v>9</v>
      </c>
      <c r="E612" t="s">
        <v>63</v>
      </c>
      <c r="H612" s="2" t="s">
        <v>1313</v>
      </c>
      <c r="I612" t="s">
        <v>172</v>
      </c>
      <c r="J612" t="s">
        <v>75</v>
      </c>
      <c r="K612" t="s">
        <v>76</v>
      </c>
      <c r="L612" t="s">
        <v>172</v>
      </c>
      <c r="N612">
        <v>1</v>
      </c>
      <c r="O612" s="1">
        <v>46107.470856481479</v>
      </c>
      <c r="Q612" t="s">
        <v>141</v>
      </c>
      <c r="R612" t="s">
        <v>155</v>
      </c>
    </row>
    <row r="613" spans="1:18" ht="15" customHeight="1">
      <c r="A613" t="s">
        <v>1449</v>
      </c>
      <c r="B613" s="1">
        <v>46107.486527777779</v>
      </c>
      <c r="C613" t="s">
        <v>61</v>
      </c>
      <c r="D613" t="s">
        <v>9</v>
      </c>
      <c r="E613" t="s">
        <v>1</v>
      </c>
      <c r="F613" t="s">
        <v>37</v>
      </c>
      <c r="G613" t="s">
        <v>20</v>
      </c>
      <c r="H613" s="2" t="s">
        <v>1450</v>
      </c>
      <c r="I613" t="s">
        <v>118</v>
      </c>
      <c r="J613" t="s">
        <v>75</v>
      </c>
      <c r="K613" t="s">
        <v>76</v>
      </c>
      <c r="L613" t="s">
        <v>118</v>
      </c>
      <c r="N613">
        <v>0</v>
      </c>
      <c r="O613" s="1">
        <v>46108.314479166664</v>
      </c>
      <c r="P613" t="s">
        <v>97</v>
      </c>
      <c r="Q613" t="s">
        <v>98</v>
      </c>
      <c r="R613" t="s">
        <v>118</v>
      </c>
    </row>
    <row r="614" spans="1:18" ht="15" customHeight="1">
      <c r="A614" t="s">
        <v>1451</v>
      </c>
      <c r="B614" s="1">
        <v>46107.510138888887</v>
      </c>
      <c r="C614" t="s">
        <v>184</v>
      </c>
      <c r="D614" t="s">
        <v>9</v>
      </c>
      <c r="E614" t="s">
        <v>1</v>
      </c>
      <c r="F614" t="s">
        <v>37</v>
      </c>
      <c r="G614" t="s">
        <v>19</v>
      </c>
      <c r="H614" t="s">
        <v>1452</v>
      </c>
      <c r="I614" t="s">
        <v>540</v>
      </c>
      <c r="J614" t="s">
        <v>75</v>
      </c>
      <c r="K614" t="s">
        <v>81</v>
      </c>
      <c r="L614" t="s">
        <v>540</v>
      </c>
      <c r="N614">
        <v>0</v>
      </c>
      <c r="P614" t="s">
        <v>97</v>
      </c>
      <c r="R614" t="s">
        <v>83</v>
      </c>
    </row>
    <row r="615" spans="1:18" ht="15" customHeight="1">
      <c r="A615" t="s">
        <v>1453</v>
      </c>
      <c r="B615" s="1">
        <v>46107.604039351849</v>
      </c>
      <c r="C615" t="s">
        <v>61</v>
      </c>
      <c r="D615" t="s">
        <v>9</v>
      </c>
      <c r="E615" t="s">
        <v>63</v>
      </c>
      <c r="H615" s="2" t="s">
        <v>1454</v>
      </c>
      <c r="I615" t="s">
        <v>229</v>
      </c>
      <c r="J615" t="s">
        <v>75</v>
      </c>
      <c r="K615" t="s">
        <v>76</v>
      </c>
      <c r="L615" t="s">
        <v>229</v>
      </c>
      <c r="N615">
        <v>0</v>
      </c>
      <c r="O615" s="1">
        <v>46107.61409722222</v>
      </c>
      <c r="P615" t="s">
        <v>91</v>
      </c>
      <c r="Q615" t="s">
        <v>147</v>
      </c>
      <c r="R615" t="s">
        <v>92</v>
      </c>
    </row>
    <row r="616" spans="1:18" ht="15" customHeight="1">
      <c r="A616" t="s">
        <v>1455</v>
      </c>
      <c r="B616" s="1">
        <v>46107.642500000002</v>
      </c>
      <c r="C616" t="s">
        <v>61</v>
      </c>
      <c r="D616" t="s">
        <v>9</v>
      </c>
      <c r="E616" t="s">
        <v>63</v>
      </c>
      <c r="H616" s="2" t="s">
        <v>1456</v>
      </c>
      <c r="I616" t="s">
        <v>1165</v>
      </c>
      <c r="J616" t="s">
        <v>75</v>
      </c>
      <c r="K616" t="s">
        <v>76</v>
      </c>
      <c r="L616" t="s">
        <v>1165</v>
      </c>
      <c r="N616">
        <v>0</v>
      </c>
      <c r="O616" s="1">
        <v>46108.430208333331</v>
      </c>
      <c r="P616" t="s">
        <v>91</v>
      </c>
      <c r="Q616" t="s">
        <v>147</v>
      </c>
      <c r="R616" t="s">
        <v>77</v>
      </c>
    </row>
    <row r="617" spans="1:18" ht="15" customHeight="1">
      <c r="A617" t="s">
        <v>1457</v>
      </c>
      <c r="B617" s="1">
        <v>46107.656851851854</v>
      </c>
      <c r="C617" t="s">
        <v>61</v>
      </c>
      <c r="D617" t="s">
        <v>9</v>
      </c>
      <c r="E617" t="s">
        <v>63</v>
      </c>
      <c r="H617" t="s">
        <v>1458</v>
      </c>
      <c r="I617" t="s">
        <v>1459</v>
      </c>
      <c r="J617" t="s">
        <v>75</v>
      </c>
      <c r="K617" t="s">
        <v>76</v>
      </c>
      <c r="L617" t="s">
        <v>1459</v>
      </c>
      <c r="N617">
        <v>1</v>
      </c>
      <c r="O617" s="1">
        <v>46107.660115740742</v>
      </c>
      <c r="Q617" t="s">
        <v>69</v>
      </c>
      <c r="R617" t="s">
        <v>354</v>
      </c>
    </row>
    <row r="618" spans="1:18" ht="15" customHeight="1">
      <c r="A618" t="s">
        <v>1460</v>
      </c>
      <c r="B618" s="1">
        <v>46107.672314814816</v>
      </c>
      <c r="C618" t="s">
        <v>294</v>
      </c>
      <c r="D618" t="s">
        <v>9</v>
      </c>
      <c r="E618" t="s">
        <v>1</v>
      </c>
      <c r="F618" t="s">
        <v>40</v>
      </c>
      <c r="G618" t="s">
        <v>11</v>
      </c>
      <c r="H618" s="2" t="s">
        <v>1461</v>
      </c>
      <c r="I618" t="s">
        <v>821</v>
      </c>
      <c r="J618" t="s">
        <v>75</v>
      </c>
      <c r="K618" t="s">
        <v>81</v>
      </c>
      <c r="L618" t="s">
        <v>821</v>
      </c>
      <c r="N618">
        <v>0</v>
      </c>
      <c r="P618" t="s">
        <v>97</v>
      </c>
      <c r="Q618" t="s">
        <v>117</v>
      </c>
      <c r="R618" t="s">
        <v>77</v>
      </c>
    </row>
    <row r="619" spans="1:18" ht="15" customHeight="1">
      <c r="A619" t="s">
        <v>1462</v>
      </c>
      <c r="B619" s="1">
        <v>46107.683171296296</v>
      </c>
      <c r="C619" t="s">
        <v>184</v>
      </c>
      <c r="D619" t="s">
        <v>9</v>
      </c>
      <c r="E619" t="s">
        <v>1</v>
      </c>
      <c r="F619" t="s">
        <v>37</v>
      </c>
      <c r="G619" t="s">
        <v>19</v>
      </c>
      <c r="H619" s="2" t="s">
        <v>1463</v>
      </c>
      <c r="I619" t="s">
        <v>118</v>
      </c>
      <c r="J619" t="s">
        <v>75</v>
      </c>
      <c r="K619" t="s">
        <v>76</v>
      </c>
      <c r="L619" t="s">
        <v>118</v>
      </c>
      <c r="N619">
        <v>0</v>
      </c>
      <c r="P619" t="s">
        <v>97</v>
      </c>
      <c r="R619" t="s">
        <v>118</v>
      </c>
    </row>
    <row r="620" spans="1:18" ht="15" customHeight="1">
      <c r="A620" t="s">
        <v>1464</v>
      </c>
      <c r="B620" s="1">
        <v>46107.711898148147</v>
      </c>
      <c r="C620" t="s">
        <v>61</v>
      </c>
      <c r="D620" t="s">
        <v>9</v>
      </c>
      <c r="E620" t="s">
        <v>1</v>
      </c>
      <c r="F620" t="s">
        <v>37</v>
      </c>
      <c r="G620" t="s">
        <v>11</v>
      </c>
      <c r="H620" s="2" t="s">
        <v>1465</v>
      </c>
      <c r="I620" t="s">
        <v>101</v>
      </c>
      <c r="J620" t="s">
        <v>75</v>
      </c>
      <c r="K620" t="s">
        <v>81</v>
      </c>
      <c r="L620" t="s">
        <v>101</v>
      </c>
      <c r="N620">
        <v>0</v>
      </c>
      <c r="O620" s="1">
        <v>46107.763749999998</v>
      </c>
      <c r="P620" t="s">
        <v>82</v>
      </c>
      <c r="Q620" t="s">
        <v>340</v>
      </c>
      <c r="R620" t="s">
        <v>125</v>
      </c>
    </row>
    <row r="621" spans="1:18" ht="15" customHeight="1">
      <c r="A621" t="s">
        <v>1466</v>
      </c>
      <c r="B621" s="1">
        <v>46107.713865740741</v>
      </c>
      <c r="C621" t="s">
        <v>165</v>
      </c>
      <c r="D621" t="s">
        <v>9</v>
      </c>
      <c r="E621" t="s">
        <v>1</v>
      </c>
      <c r="F621" t="s">
        <v>37</v>
      </c>
      <c r="G621" t="s">
        <v>14</v>
      </c>
      <c r="H621" s="2" t="s">
        <v>1467</v>
      </c>
      <c r="I621" t="s">
        <v>540</v>
      </c>
      <c r="J621" t="s">
        <v>75</v>
      </c>
      <c r="K621" t="s">
        <v>81</v>
      </c>
      <c r="L621" t="s">
        <v>540</v>
      </c>
      <c r="N621">
        <v>0</v>
      </c>
      <c r="P621" t="s">
        <v>82</v>
      </c>
      <c r="R621" t="s">
        <v>125</v>
      </c>
    </row>
    <row r="622" spans="1:18" ht="15" customHeight="1">
      <c r="A622" t="s">
        <v>1468</v>
      </c>
      <c r="B622" s="1">
        <v>46107.774780092594</v>
      </c>
      <c r="C622" t="s">
        <v>184</v>
      </c>
      <c r="D622" t="s">
        <v>9</v>
      </c>
      <c r="E622" t="s">
        <v>1</v>
      </c>
      <c r="F622" t="s">
        <v>28</v>
      </c>
      <c r="G622" t="s">
        <v>17</v>
      </c>
      <c r="H622" t="s">
        <v>1469</v>
      </c>
      <c r="I622" t="s">
        <v>427</v>
      </c>
      <c r="J622" t="s">
        <v>75</v>
      </c>
      <c r="K622" t="s">
        <v>81</v>
      </c>
      <c r="L622" t="s">
        <v>427</v>
      </c>
      <c r="N622">
        <v>0</v>
      </c>
      <c r="P622" t="s">
        <v>97</v>
      </c>
      <c r="R622" t="s">
        <v>83</v>
      </c>
    </row>
    <row r="623" spans="1:18" ht="15" customHeight="1">
      <c r="A623" t="s">
        <v>1470</v>
      </c>
      <c r="B623" s="1">
        <v>46108.336608796293</v>
      </c>
      <c r="C623" t="s">
        <v>956</v>
      </c>
      <c r="D623" t="s">
        <v>9</v>
      </c>
      <c r="E623" t="s">
        <v>63</v>
      </c>
      <c r="H623" t="s">
        <v>1123</v>
      </c>
      <c r="I623" t="s">
        <v>656</v>
      </c>
      <c r="J623" t="s">
        <v>75</v>
      </c>
      <c r="K623" t="s">
        <v>76</v>
      </c>
      <c r="L623" t="s">
        <v>656</v>
      </c>
      <c r="N623">
        <v>0</v>
      </c>
      <c r="P623" t="s">
        <v>784</v>
      </c>
      <c r="R623" t="s">
        <v>83</v>
      </c>
    </row>
    <row r="624" spans="1:18" ht="15" customHeight="1">
      <c r="A624" t="s">
        <v>1471</v>
      </c>
      <c r="B624" s="1">
        <v>46108.344502314816</v>
      </c>
      <c r="C624" t="s">
        <v>61</v>
      </c>
      <c r="D624" t="s">
        <v>9</v>
      </c>
      <c r="E624" t="s">
        <v>1</v>
      </c>
      <c r="F624" t="s">
        <v>27</v>
      </c>
      <c r="G624" t="s">
        <v>11</v>
      </c>
      <c r="H624" t="s">
        <v>1472</v>
      </c>
      <c r="I624" t="s">
        <v>90</v>
      </c>
      <c r="J624" t="s">
        <v>75</v>
      </c>
      <c r="K624" t="s">
        <v>81</v>
      </c>
      <c r="L624" t="s">
        <v>90</v>
      </c>
      <c r="N624">
        <v>0</v>
      </c>
      <c r="O624" s="1">
        <v>46108.475613425922</v>
      </c>
      <c r="P624" t="s">
        <v>82</v>
      </c>
      <c r="Q624" t="s">
        <v>69</v>
      </c>
      <c r="R624" t="s">
        <v>83</v>
      </c>
    </row>
    <row r="625" spans="1:18" ht="15" customHeight="1">
      <c r="A625" t="s">
        <v>1473</v>
      </c>
      <c r="B625" s="1">
        <v>46108.4841087963</v>
      </c>
      <c r="C625" t="s">
        <v>61</v>
      </c>
      <c r="D625" t="s">
        <v>9</v>
      </c>
      <c r="E625" t="s">
        <v>1</v>
      </c>
      <c r="F625" t="s">
        <v>37</v>
      </c>
      <c r="G625" t="s">
        <v>11</v>
      </c>
      <c r="H625" s="2" t="s">
        <v>1474</v>
      </c>
      <c r="I625" t="s">
        <v>202</v>
      </c>
      <c r="J625" t="s">
        <v>75</v>
      </c>
      <c r="K625" t="s">
        <v>81</v>
      </c>
      <c r="L625" t="s">
        <v>202</v>
      </c>
      <c r="N625">
        <v>1</v>
      </c>
      <c r="O625" s="1">
        <v>46108.494062500002</v>
      </c>
      <c r="Q625" t="s">
        <v>69</v>
      </c>
      <c r="R625" t="s">
        <v>77</v>
      </c>
    </row>
    <row r="626" spans="1:18" ht="15" customHeight="1">
      <c r="A626" t="s">
        <v>1475</v>
      </c>
      <c r="B626" s="1">
        <v>46072.697442129633</v>
      </c>
      <c r="C626" t="s">
        <v>61</v>
      </c>
      <c r="D626" t="s">
        <v>9</v>
      </c>
      <c r="E626" t="s">
        <v>1</v>
      </c>
      <c r="F626" t="s">
        <v>37</v>
      </c>
      <c r="G626" t="s">
        <v>19</v>
      </c>
      <c r="H626" t="s">
        <v>1476</v>
      </c>
      <c r="I626" t="s">
        <v>494</v>
      </c>
      <c r="J626" t="s">
        <v>75</v>
      </c>
      <c r="K626" t="s">
        <v>76</v>
      </c>
      <c r="L626" t="s">
        <v>494</v>
      </c>
      <c r="N626">
        <v>0</v>
      </c>
      <c r="O626" s="1">
        <v>46100.313622685186</v>
      </c>
      <c r="P626" t="s">
        <v>97</v>
      </c>
      <c r="Q626" t="s">
        <v>98</v>
      </c>
      <c r="R626" t="s">
        <v>92</v>
      </c>
    </row>
    <row r="627" spans="1:18" ht="15" customHeight="1">
      <c r="A627" t="s">
        <v>1477</v>
      </c>
      <c r="B627" s="1">
        <v>46108.541944444441</v>
      </c>
      <c r="C627" t="s">
        <v>61</v>
      </c>
      <c r="D627" t="s">
        <v>9</v>
      </c>
      <c r="E627" t="s">
        <v>63</v>
      </c>
      <c r="H627" s="2" t="s">
        <v>1478</v>
      </c>
      <c r="I627" t="s">
        <v>113</v>
      </c>
      <c r="J627" t="s">
        <v>75</v>
      </c>
      <c r="K627" t="s">
        <v>76</v>
      </c>
      <c r="L627" t="s">
        <v>113</v>
      </c>
      <c r="N627">
        <v>1</v>
      </c>
      <c r="O627" s="1">
        <v>46108.546539351853</v>
      </c>
      <c r="Q627" t="s">
        <v>1447</v>
      </c>
      <c r="R627" t="s">
        <v>589</v>
      </c>
    </row>
    <row r="628" spans="1:18" ht="15" customHeight="1">
      <c r="A628" t="s">
        <v>1479</v>
      </c>
      <c r="B628" s="1">
        <v>46108.557384259257</v>
      </c>
      <c r="C628" t="s">
        <v>61</v>
      </c>
      <c r="D628" t="s">
        <v>9</v>
      </c>
      <c r="E628" t="s">
        <v>63</v>
      </c>
      <c r="H628" t="s">
        <v>1480</v>
      </c>
      <c r="I628" t="s">
        <v>309</v>
      </c>
      <c r="J628" t="s">
        <v>75</v>
      </c>
      <c r="K628" t="s">
        <v>76</v>
      </c>
      <c r="L628" t="s">
        <v>309</v>
      </c>
      <c r="N628">
        <v>1</v>
      </c>
      <c r="O628" s="1">
        <v>46108.558680555558</v>
      </c>
      <c r="Q628" t="s">
        <v>69</v>
      </c>
      <c r="R628" t="s">
        <v>354</v>
      </c>
    </row>
    <row r="629" spans="1:18" ht="15" customHeight="1">
      <c r="A629" t="s">
        <v>1481</v>
      </c>
      <c r="B629" s="1">
        <v>46108.571620370371</v>
      </c>
      <c r="C629" t="s">
        <v>61</v>
      </c>
      <c r="D629" t="s">
        <v>9</v>
      </c>
      <c r="E629" t="s">
        <v>63</v>
      </c>
      <c r="H629" t="s">
        <v>171</v>
      </c>
      <c r="I629" t="s">
        <v>269</v>
      </c>
      <c r="J629" t="s">
        <v>75</v>
      </c>
      <c r="K629" t="s">
        <v>76</v>
      </c>
      <c r="L629" t="s">
        <v>269</v>
      </c>
      <c r="N629">
        <v>1</v>
      </c>
      <c r="O629" s="1">
        <v>46108.572789351849</v>
      </c>
      <c r="Q629" t="s">
        <v>69</v>
      </c>
      <c r="R629" t="s">
        <v>77</v>
      </c>
    </row>
    <row r="630" spans="1:18" ht="15" customHeight="1">
      <c r="A630" t="s">
        <v>1482</v>
      </c>
      <c r="B630" s="1">
        <v>46108.580543981479</v>
      </c>
      <c r="C630" t="s">
        <v>61</v>
      </c>
      <c r="D630" t="s">
        <v>9</v>
      </c>
      <c r="E630" t="s">
        <v>63</v>
      </c>
      <c r="H630" t="s">
        <v>1483</v>
      </c>
      <c r="I630" t="s">
        <v>1484</v>
      </c>
      <c r="J630" t="s">
        <v>75</v>
      </c>
      <c r="K630" t="s">
        <v>76</v>
      </c>
      <c r="L630" t="s">
        <v>1484</v>
      </c>
      <c r="N630">
        <v>1</v>
      </c>
      <c r="O630" s="1">
        <v>46108.58326388889</v>
      </c>
      <c r="Q630" t="s">
        <v>147</v>
      </c>
      <c r="R630" t="s">
        <v>354</v>
      </c>
    </row>
    <row r="631" spans="1:18" ht="15" customHeight="1">
      <c r="A631" t="s">
        <v>1485</v>
      </c>
      <c r="B631" s="1">
        <v>46108.614884259259</v>
      </c>
      <c r="C631" t="s">
        <v>61</v>
      </c>
      <c r="D631" t="s">
        <v>9</v>
      </c>
      <c r="H631" t="s">
        <v>1486</v>
      </c>
      <c r="I631" t="s">
        <v>1107</v>
      </c>
      <c r="J631" t="s">
        <v>75</v>
      </c>
      <c r="K631" t="s">
        <v>76</v>
      </c>
      <c r="L631" t="s">
        <v>1107</v>
      </c>
      <c r="N631">
        <v>1</v>
      </c>
      <c r="O631" s="1">
        <v>46108.622013888889</v>
      </c>
      <c r="Q631" t="s">
        <v>147</v>
      </c>
      <c r="R631" t="s">
        <v>92</v>
      </c>
    </row>
    <row r="632" spans="1:18" ht="15" customHeight="1">
      <c r="A632" t="s">
        <v>1487</v>
      </c>
      <c r="B632" s="1">
        <v>46108.616249999999</v>
      </c>
      <c r="C632" t="s">
        <v>61</v>
      </c>
      <c r="D632" t="s">
        <v>9</v>
      </c>
      <c r="H632" s="2" t="s">
        <v>1488</v>
      </c>
      <c r="I632" t="s">
        <v>1116</v>
      </c>
      <c r="J632" t="s">
        <v>75</v>
      </c>
      <c r="K632" t="s">
        <v>76</v>
      </c>
      <c r="L632" t="s">
        <v>1116</v>
      </c>
      <c r="N632">
        <v>1</v>
      </c>
      <c r="O632" s="1">
        <v>46108.617407407408</v>
      </c>
      <c r="Q632" t="s">
        <v>69</v>
      </c>
      <c r="R632" t="s">
        <v>589</v>
      </c>
    </row>
    <row r="633" spans="1:18" ht="15" customHeight="1">
      <c r="A633" t="s">
        <v>1489</v>
      </c>
      <c r="B633" s="1">
        <v>46108.688148148147</v>
      </c>
      <c r="C633" t="s">
        <v>184</v>
      </c>
      <c r="D633" t="s">
        <v>9</v>
      </c>
      <c r="H633" t="s">
        <v>1490</v>
      </c>
      <c r="I633" t="s">
        <v>214</v>
      </c>
      <c r="J633" t="s">
        <v>75</v>
      </c>
      <c r="K633" t="s">
        <v>81</v>
      </c>
      <c r="L633" t="s">
        <v>214</v>
      </c>
      <c r="N633">
        <v>0</v>
      </c>
      <c r="P633" t="s">
        <v>97</v>
      </c>
      <c r="R633" t="s">
        <v>92</v>
      </c>
    </row>
    <row r="634" spans="1:18" ht="15" customHeight="1">
      <c r="A634" t="s">
        <v>1491</v>
      </c>
      <c r="B634" s="1">
        <v>46108.727303240739</v>
      </c>
      <c r="C634" t="s">
        <v>61</v>
      </c>
      <c r="D634" t="s">
        <v>9</v>
      </c>
      <c r="H634" s="2" t="s">
        <v>1492</v>
      </c>
      <c r="I634" t="s">
        <v>131</v>
      </c>
      <c r="J634" t="s">
        <v>75</v>
      </c>
      <c r="K634" t="s">
        <v>81</v>
      </c>
      <c r="L634" t="s">
        <v>131</v>
      </c>
      <c r="N634">
        <v>0</v>
      </c>
      <c r="O634" s="1">
        <v>46111.42759259259</v>
      </c>
      <c r="P634" t="s">
        <v>82</v>
      </c>
      <c r="Q634" t="s">
        <v>69</v>
      </c>
      <c r="R634" t="s">
        <v>77</v>
      </c>
    </row>
    <row r="635" spans="1:18" ht="15" customHeight="1">
      <c r="A635" t="s">
        <v>1493</v>
      </c>
      <c r="B635" s="1">
        <v>46111.58021990741</v>
      </c>
      <c r="C635" t="s">
        <v>61</v>
      </c>
      <c r="D635" t="s">
        <v>9</v>
      </c>
      <c r="H635" s="2" t="s">
        <v>1494</v>
      </c>
      <c r="I635" t="s">
        <v>86</v>
      </c>
      <c r="J635" t="s">
        <v>75</v>
      </c>
      <c r="K635" t="s">
        <v>76</v>
      </c>
      <c r="L635" t="s">
        <v>86</v>
      </c>
      <c r="N635">
        <v>1</v>
      </c>
      <c r="O635" s="1">
        <v>46111.582152777781</v>
      </c>
      <c r="Q635" t="s">
        <v>69</v>
      </c>
      <c r="R635" t="s">
        <v>589</v>
      </c>
    </row>
    <row r="636" spans="1:18" ht="15" customHeight="1">
      <c r="A636" t="s">
        <v>1495</v>
      </c>
      <c r="B636" s="1">
        <v>46111.601435185185</v>
      </c>
      <c r="C636" t="s">
        <v>61</v>
      </c>
      <c r="D636" t="s">
        <v>9</v>
      </c>
      <c r="H636" t="s">
        <v>171</v>
      </c>
      <c r="I636" t="s">
        <v>269</v>
      </c>
      <c r="J636" t="s">
        <v>75</v>
      </c>
      <c r="K636" t="s">
        <v>76</v>
      </c>
      <c r="L636" t="s">
        <v>269</v>
      </c>
      <c r="N636">
        <v>1</v>
      </c>
      <c r="O636" s="1">
        <v>46111.60224537037</v>
      </c>
      <c r="Q636" t="s">
        <v>69</v>
      </c>
      <c r="R636" t="s">
        <v>83</v>
      </c>
    </row>
    <row r="637" spans="1:18" ht="15" customHeight="1">
      <c r="A637" t="s">
        <v>1496</v>
      </c>
      <c r="B637" s="1">
        <v>46111.614699074074</v>
      </c>
      <c r="C637" t="s">
        <v>184</v>
      </c>
      <c r="D637" t="s">
        <v>9</v>
      </c>
      <c r="H637" s="2" t="s">
        <v>1497</v>
      </c>
      <c r="I637" t="s">
        <v>118</v>
      </c>
      <c r="J637" t="s">
        <v>75</v>
      </c>
      <c r="K637" t="s">
        <v>76</v>
      </c>
      <c r="L637" t="s">
        <v>118</v>
      </c>
      <c r="N637">
        <v>0</v>
      </c>
      <c r="P637" t="s">
        <v>97</v>
      </c>
      <c r="R637" t="s">
        <v>118</v>
      </c>
    </row>
    <row r="638" spans="1:18" ht="15" customHeight="1">
      <c r="A638" t="s">
        <v>1498</v>
      </c>
      <c r="B638" s="1">
        <v>46111.631539351853</v>
      </c>
      <c r="C638" t="s">
        <v>61</v>
      </c>
      <c r="D638" t="s">
        <v>9</v>
      </c>
      <c r="H638" s="2" t="s">
        <v>1499</v>
      </c>
      <c r="I638" t="s">
        <v>1500</v>
      </c>
      <c r="J638" t="s">
        <v>75</v>
      </c>
      <c r="K638" t="s">
        <v>76</v>
      </c>
      <c r="L638" t="s">
        <v>1500</v>
      </c>
      <c r="N638">
        <v>1</v>
      </c>
      <c r="O638" s="1">
        <v>46111.634247685186</v>
      </c>
      <c r="Q638" t="s">
        <v>69</v>
      </c>
      <c r="R638" t="s">
        <v>589</v>
      </c>
    </row>
    <row r="639" spans="1:18" ht="15" customHeight="1">
      <c r="A639" t="s">
        <v>1501</v>
      </c>
      <c r="B639" s="1">
        <v>46111.608518518522</v>
      </c>
      <c r="C639" t="s">
        <v>61</v>
      </c>
      <c r="D639" t="s">
        <v>9</v>
      </c>
      <c r="H639" s="2" t="s">
        <v>1502</v>
      </c>
      <c r="I639" t="s">
        <v>917</v>
      </c>
      <c r="J639" t="s">
        <v>75</v>
      </c>
      <c r="K639" t="s">
        <v>81</v>
      </c>
      <c r="L639" t="s">
        <v>917</v>
      </c>
      <c r="N639">
        <v>0</v>
      </c>
      <c r="O639" s="1">
        <v>46115.311226851853</v>
      </c>
      <c r="P639" t="s">
        <v>97</v>
      </c>
      <c r="Q639" t="s">
        <v>98</v>
      </c>
      <c r="R639" t="s">
        <v>125</v>
      </c>
    </row>
    <row r="640" spans="1:18" ht="15" customHeight="1">
      <c r="A640" t="s">
        <v>1503</v>
      </c>
      <c r="B640" s="1">
        <v>46111.645324074074</v>
      </c>
      <c r="C640" t="s">
        <v>61</v>
      </c>
      <c r="D640" t="s">
        <v>9</v>
      </c>
      <c r="H640" s="2" t="s">
        <v>1504</v>
      </c>
      <c r="I640" t="s">
        <v>1505</v>
      </c>
      <c r="J640" t="s">
        <v>75</v>
      </c>
      <c r="K640" t="s">
        <v>81</v>
      </c>
      <c r="L640" t="s">
        <v>1505</v>
      </c>
      <c r="N640">
        <v>0</v>
      </c>
      <c r="O640" s="1">
        <v>46111.688298611109</v>
      </c>
      <c r="P640" t="s">
        <v>82</v>
      </c>
      <c r="Q640" t="s">
        <v>69</v>
      </c>
      <c r="R640" t="s">
        <v>151</v>
      </c>
    </row>
    <row r="641" spans="1:18" ht="15" customHeight="1">
      <c r="A641" t="s">
        <v>1506</v>
      </c>
      <c r="B641" s="1">
        <v>46111.657638888886</v>
      </c>
      <c r="C641" t="s">
        <v>61</v>
      </c>
      <c r="D641" t="s">
        <v>9</v>
      </c>
      <c r="H641" t="s">
        <v>1507</v>
      </c>
      <c r="I641" t="s">
        <v>309</v>
      </c>
      <c r="J641" t="s">
        <v>75</v>
      </c>
      <c r="K641" t="s">
        <v>76</v>
      </c>
      <c r="L641" t="s">
        <v>309</v>
      </c>
      <c r="N641">
        <v>1</v>
      </c>
      <c r="O641" s="1">
        <v>46111.664293981485</v>
      </c>
      <c r="Q641" t="s">
        <v>69</v>
      </c>
      <c r="R641" t="s">
        <v>780</v>
      </c>
    </row>
    <row r="642" spans="1:18" ht="15" customHeight="1">
      <c r="A642" t="s">
        <v>1508</v>
      </c>
      <c r="B642" s="1">
        <v>46111.683958333335</v>
      </c>
      <c r="C642" t="s">
        <v>184</v>
      </c>
      <c r="D642" t="s">
        <v>9</v>
      </c>
      <c r="H642" s="2" t="s">
        <v>1509</v>
      </c>
      <c r="I642" t="s">
        <v>118</v>
      </c>
      <c r="J642" t="s">
        <v>75</v>
      </c>
      <c r="K642" t="s">
        <v>76</v>
      </c>
      <c r="L642" t="s">
        <v>118</v>
      </c>
      <c r="N642">
        <v>0</v>
      </c>
      <c r="P642" t="s">
        <v>97</v>
      </c>
      <c r="R642" t="s">
        <v>118</v>
      </c>
    </row>
    <row r="643" spans="1:18" ht="15" customHeight="1">
      <c r="A643" t="s">
        <v>1510</v>
      </c>
      <c r="B643" s="1">
        <v>46111.698530092595</v>
      </c>
      <c r="C643" t="s">
        <v>61</v>
      </c>
      <c r="D643" t="s">
        <v>9</v>
      </c>
      <c r="H643" s="2" t="s">
        <v>1511</v>
      </c>
      <c r="I643" t="s">
        <v>86</v>
      </c>
      <c r="J643" t="s">
        <v>75</v>
      </c>
      <c r="K643" t="s">
        <v>81</v>
      </c>
      <c r="L643" t="s">
        <v>86</v>
      </c>
      <c r="N643">
        <v>0</v>
      </c>
      <c r="O643" s="1">
        <v>46120.311192129629</v>
      </c>
      <c r="P643" t="s">
        <v>97</v>
      </c>
      <c r="Q643" t="s">
        <v>117</v>
      </c>
      <c r="R643" t="s">
        <v>125</v>
      </c>
    </row>
    <row r="644" spans="1:18" ht="15" customHeight="1">
      <c r="A644" t="s">
        <v>1512</v>
      </c>
      <c r="B644" s="1">
        <v>46112.33734953704</v>
      </c>
      <c r="C644" t="s">
        <v>61</v>
      </c>
      <c r="D644" t="s">
        <v>9</v>
      </c>
      <c r="H644" s="2" t="s">
        <v>1513</v>
      </c>
      <c r="I644" t="s">
        <v>118</v>
      </c>
      <c r="J644" t="s">
        <v>75</v>
      </c>
      <c r="K644" t="s">
        <v>76</v>
      </c>
      <c r="L644" t="s">
        <v>118</v>
      </c>
      <c r="N644">
        <v>0</v>
      </c>
      <c r="O644" s="1">
        <v>46127.30541666667</v>
      </c>
      <c r="P644" t="s">
        <v>97</v>
      </c>
      <c r="Q644" t="s">
        <v>211</v>
      </c>
      <c r="R644" t="s">
        <v>118</v>
      </c>
    </row>
    <row r="645" spans="1:18" ht="15" customHeight="1">
      <c r="A645" t="s">
        <v>1514</v>
      </c>
      <c r="B645" s="1">
        <v>46112.341967592591</v>
      </c>
      <c r="C645" t="s">
        <v>61</v>
      </c>
      <c r="D645" t="s">
        <v>9</v>
      </c>
      <c r="H645" s="2" t="s">
        <v>1515</v>
      </c>
      <c r="I645" t="s">
        <v>118</v>
      </c>
      <c r="J645" t="s">
        <v>75</v>
      </c>
      <c r="K645" t="s">
        <v>76</v>
      </c>
      <c r="L645" t="s">
        <v>118</v>
      </c>
      <c r="N645">
        <v>0</v>
      </c>
      <c r="O645" s="1">
        <v>46115.310219907406</v>
      </c>
      <c r="P645" t="s">
        <v>97</v>
      </c>
      <c r="Q645" t="s">
        <v>211</v>
      </c>
      <c r="R645" t="s">
        <v>118</v>
      </c>
    </row>
    <row r="646" spans="1:18" ht="15" customHeight="1">
      <c r="A646" t="s">
        <v>1516</v>
      </c>
      <c r="B646" s="1">
        <v>46112.369375000002</v>
      </c>
      <c r="C646" t="s">
        <v>61</v>
      </c>
      <c r="D646" t="s">
        <v>9</v>
      </c>
      <c r="H646" t="s">
        <v>1517</v>
      </c>
      <c r="I646" t="s">
        <v>1518</v>
      </c>
      <c r="J646" t="s">
        <v>75</v>
      </c>
      <c r="K646" t="s">
        <v>76</v>
      </c>
      <c r="L646" t="s">
        <v>1518</v>
      </c>
      <c r="N646">
        <v>1</v>
      </c>
      <c r="O646" s="1">
        <v>46112.373182870368</v>
      </c>
      <c r="Q646" t="s">
        <v>69</v>
      </c>
      <c r="R646" t="s">
        <v>354</v>
      </c>
    </row>
    <row r="647" spans="1:18" ht="15" customHeight="1">
      <c r="A647" t="s">
        <v>1519</v>
      </c>
      <c r="B647" s="1">
        <v>46112.431076388886</v>
      </c>
      <c r="C647" t="s">
        <v>61</v>
      </c>
      <c r="D647" t="s">
        <v>9</v>
      </c>
      <c r="H647" t="s">
        <v>1520</v>
      </c>
      <c r="I647" t="s">
        <v>1518</v>
      </c>
      <c r="J647" t="s">
        <v>75</v>
      </c>
      <c r="K647" t="s">
        <v>76</v>
      </c>
      <c r="L647" t="s">
        <v>1518</v>
      </c>
      <c r="N647">
        <v>1</v>
      </c>
      <c r="O647" s="1">
        <v>46112.433506944442</v>
      </c>
      <c r="Q647" t="s">
        <v>69</v>
      </c>
      <c r="R647" t="s">
        <v>354</v>
      </c>
    </row>
    <row r="648" spans="1:18" ht="15" customHeight="1">
      <c r="A648" t="s">
        <v>1521</v>
      </c>
      <c r="B648" s="1">
        <v>46112.543553240743</v>
      </c>
      <c r="C648" t="s">
        <v>61</v>
      </c>
      <c r="D648" t="s">
        <v>327</v>
      </c>
      <c r="H648" t="s">
        <v>1522</v>
      </c>
      <c r="I648" t="s">
        <v>691</v>
      </c>
      <c r="J648" t="s">
        <v>66</v>
      </c>
      <c r="K648" t="s">
        <v>67</v>
      </c>
      <c r="L648" t="s">
        <v>691</v>
      </c>
      <c r="N648">
        <v>0</v>
      </c>
      <c r="O648" s="1">
        <v>46113.459027777775</v>
      </c>
      <c r="P648" t="s">
        <v>330</v>
      </c>
      <c r="Q648" t="s">
        <v>331</v>
      </c>
      <c r="R648" t="s">
        <v>691</v>
      </c>
    </row>
    <row r="649" spans="1:18" ht="15" customHeight="1">
      <c r="A649" t="s">
        <v>1523</v>
      </c>
      <c r="B649" s="1">
        <v>46112.576689814814</v>
      </c>
      <c r="C649" t="s">
        <v>61</v>
      </c>
      <c r="D649" t="s">
        <v>9</v>
      </c>
      <c r="H649" t="s">
        <v>1524</v>
      </c>
      <c r="I649" t="s">
        <v>1525</v>
      </c>
      <c r="J649" t="s">
        <v>75</v>
      </c>
      <c r="K649" t="s">
        <v>76</v>
      </c>
      <c r="L649" t="s">
        <v>1525</v>
      </c>
      <c r="N649">
        <v>1</v>
      </c>
      <c r="O649" s="1">
        <v>46112.578356481485</v>
      </c>
      <c r="Q649" t="s">
        <v>147</v>
      </c>
      <c r="R649" t="s">
        <v>92</v>
      </c>
    </row>
    <row r="650" spans="1:18" ht="15" customHeight="1">
      <c r="A650" t="s">
        <v>1526</v>
      </c>
      <c r="B650" s="1">
        <v>46112.592083333337</v>
      </c>
      <c r="C650" t="s">
        <v>61</v>
      </c>
      <c r="D650" t="s">
        <v>9</v>
      </c>
      <c r="H650" s="2" t="s">
        <v>174</v>
      </c>
      <c r="I650" t="s">
        <v>494</v>
      </c>
      <c r="J650" t="s">
        <v>75</v>
      </c>
      <c r="K650" t="s">
        <v>76</v>
      </c>
      <c r="L650" t="s">
        <v>494</v>
      </c>
      <c r="N650">
        <v>1</v>
      </c>
      <c r="O650" s="1">
        <v>46112.593182870369</v>
      </c>
      <c r="Q650" t="s">
        <v>147</v>
      </c>
      <c r="R650" t="s">
        <v>125</v>
      </c>
    </row>
    <row r="651" spans="1:18" ht="15" customHeight="1">
      <c r="A651" t="s">
        <v>1527</v>
      </c>
      <c r="B651" s="1">
        <v>46112.68372685185</v>
      </c>
      <c r="C651" t="s">
        <v>61</v>
      </c>
      <c r="D651" t="s">
        <v>9</v>
      </c>
      <c r="H651" s="2" t="s">
        <v>1528</v>
      </c>
      <c r="I651" t="s">
        <v>113</v>
      </c>
      <c r="J651" t="s">
        <v>75</v>
      </c>
      <c r="K651" t="s">
        <v>81</v>
      </c>
      <c r="L651" t="s">
        <v>113</v>
      </c>
      <c r="N651">
        <v>0</v>
      </c>
      <c r="O651" s="1">
        <v>46127.314340277779</v>
      </c>
      <c r="P651" t="s">
        <v>97</v>
      </c>
      <c r="Q651" t="s">
        <v>117</v>
      </c>
      <c r="R651" t="s">
        <v>77</v>
      </c>
    </row>
    <row r="652" spans="1:18" ht="15" customHeight="1">
      <c r="A652" t="s">
        <v>1529</v>
      </c>
      <c r="B652" s="1">
        <v>46112.721331018518</v>
      </c>
      <c r="C652" t="s">
        <v>61</v>
      </c>
      <c r="D652" t="s">
        <v>9</v>
      </c>
      <c r="H652" s="2" t="s">
        <v>1530</v>
      </c>
      <c r="I652" t="s">
        <v>172</v>
      </c>
      <c r="J652" t="s">
        <v>75</v>
      </c>
      <c r="K652" t="s">
        <v>76</v>
      </c>
      <c r="L652" t="s">
        <v>172</v>
      </c>
      <c r="N652">
        <v>0</v>
      </c>
      <c r="O652" s="1">
        <v>46115.311423611114</v>
      </c>
      <c r="P652" t="s">
        <v>97</v>
      </c>
      <c r="Q652" t="s">
        <v>98</v>
      </c>
      <c r="R652" t="s">
        <v>118</v>
      </c>
    </row>
    <row r="653" spans="1:18" ht="15" customHeight="1">
      <c r="A653" t="s">
        <v>1531</v>
      </c>
      <c r="B653" s="1">
        <v>46112.741412037038</v>
      </c>
      <c r="C653" t="s">
        <v>61</v>
      </c>
      <c r="D653" t="s">
        <v>9</v>
      </c>
      <c r="H653" s="2" t="s">
        <v>1532</v>
      </c>
      <c r="I653" t="s">
        <v>600</v>
      </c>
      <c r="J653" t="s">
        <v>75</v>
      </c>
      <c r="K653" t="s">
        <v>81</v>
      </c>
      <c r="L653" t="s">
        <v>600</v>
      </c>
      <c r="N653">
        <v>0</v>
      </c>
      <c r="O653" s="1">
        <v>46122.30196759259</v>
      </c>
      <c r="P653" t="s">
        <v>97</v>
      </c>
      <c r="Q653" t="s">
        <v>211</v>
      </c>
      <c r="R653" t="s">
        <v>77</v>
      </c>
    </row>
    <row r="654" spans="1:18" ht="15" customHeight="1">
      <c r="A654" t="s">
        <v>1533</v>
      </c>
      <c r="B654" s="1">
        <v>46112.748819444445</v>
      </c>
      <c r="C654" t="s">
        <v>61</v>
      </c>
      <c r="D654" t="s">
        <v>9</v>
      </c>
      <c r="H654" s="2" t="s">
        <v>1534</v>
      </c>
      <c r="I654" t="s">
        <v>90</v>
      </c>
      <c r="J654" t="s">
        <v>75</v>
      </c>
      <c r="K654" t="s">
        <v>81</v>
      </c>
      <c r="L654" t="s">
        <v>90</v>
      </c>
      <c r="N654">
        <v>0</v>
      </c>
      <c r="O654" s="1">
        <v>46126.749907407408</v>
      </c>
      <c r="P654" t="s">
        <v>82</v>
      </c>
      <c r="Q654" t="s">
        <v>69</v>
      </c>
      <c r="R654" t="s">
        <v>77</v>
      </c>
    </row>
    <row r="655" spans="1:18" ht="15" customHeight="1">
      <c r="A655" t="s">
        <v>1535</v>
      </c>
      <c r="B655" s="1">
        <v>46113.41710648148</v>
      </c>
      <c r="C655" t="s">
        <v>61</v>
      </c>
      <c r="D655" t="s">
        <v>9</v>
      </c>
      <c r="H655" s="2" t="s">
        <v>1536</v>
      </c>
      <c r="I655" t="s">
        <v>131</v>
      </c>
      <c r="J655" t="s">
        <v>75</v>
      </c>
      <c r="K655" t="s">
        <v>81</v>
      </c>
      <c r="L655" t="s">
        <v>131</v>
      </c>
      <c r="N655">
        <v>0</v>
      </c>
      <c r="O655" s="1">
        <v>46113.668090277781</v>
      </c>
      <c r="P655" t="s">
        <v>82</v>
      </c>
      <c r="Q655" t="s">
        <v>69</v>
      </c>
      <c r="R655" t="s">
        <v>77</v>
      </c>
    </row>
    <row r="656" spans="1:18" ht="15" customHeight="1">
      <c r="A656" t="s">
        <v>1537</v>
      </c>
      <c r="B656" s="1">
        <v>46113.652013888888</v>
      </c>
      <c r="C656" t="s">
        <v>165</v>
      </c>
      <c r="D656" t="s">
        <v>9</v>
      </c>
      <c r="H656" s="2" t="s">
        <v>1538</v>
      </c>
      <c r="I656" t="s">
        <v>210</v>
      </c>
      <c r="J656" t="s">
        <v>75</v>
      </c>
      <c r="K656" t="s">
        <v>76</v>
      </c>
      <c r="L656" t="s">
        <v>210</v>
      </c>
      <c r="N656">
        <v>0</v>
      </c>
      <c r="P656" t="s">
        <v>82</v>
      </c>
      <c r="R656" t="s">
        <v>210</v>
      </c>
    </row>
    <row r="657" spans="1:18" ht="15" customHeight="1">
      <c r="A657" t="s">
        <v>1539</v>
      </c>
      <c r="B657" s="1">
        <v>46113.759293981479</v>
      </c>
      <c r="C657" t="s">
        <v>61</v>
      </c>
      <c r="D657" t="s">
        <v>9</v>
      </c>
      <c r="H657" s="2" t="s">
        <v>1540</v>
      </c>
      <c r="I657" t="s">
        <v>389</v>
      </c>
      <c r="J657" t="s">
        <v>75</v>
      </c>
      <c r="K657" t="s">
        <v>76</v>
      </c>
      <c r="L657" t="s">
        <v>389</v>
      </c>
      <c r="N657">
        <v>0</v>
      </c>
      <c r="O657" s="1">
        <v>46120.310949074075</v>
      </c>
      <c r="P657" t="s">
        <v>97</v>
      </c>
      <c r="Q657" t="s">
        <v>211</v>
      </c>
      <c r="R657" t="s">
        <v>118</v>
      </c>
    </row>
    <row r="658" spans="1:18" ht="15" customHeight="1">
      <c r="A658" t="s">
        <v>1541</v>
      </c>
      <c r="B658" s="1">
        <v>46114.354687500003</v>
      </c>
      <c r="C658" t="s">
        <v>61</v>
      </c>
      <c r="D658" t="s">
        <v>9</v>
      </c>
      <c r="H658" s="2" t="s">
        <v>1118</v>
      </c>
      <c r="I658" t="s">
        <v>1484</v>
      </c>
      <c r="J658" t="s">
        <v>75</v>
      </c>
      <c r="K658" t="s">
        <v>76</v>
      </c>
      <c r="L658" t="s">
        <v>1484</v>
      </c>
      <c r="N658">
        <v>1</v>
      </c>
      <c r="O658" s="1">
        <v>46114.356446759259</v>
      </c>
      <c r="Q658" t="s">
        <v>69</v>
      </c>
      <c r="R658" t="s">
        <v>125</v>
      </c>
    </row>
    <row r="659" spans="1:18" ht="15" customHeight="1">
      <c r="A659" t="s">
        <v>1542</v>
      </c>
      <c r="B659" s="1">
        <v>46114.370081018518</v>
      </c>
      <c r="C659" t="s">
        <v>61</v>
      </c>
      <c r="D659" t="s">
        <v>9</v>
      </c>
      <c r="H659" s="2" t="s">
        <v>1387</v>
      </c>
      <c r="I659" t="s">
        <v>1233</v>
      </c>
      <c r="J659" t="s">
        <v>75</v>
      </c>
      <c r="K659" t="s">
        <v>76</v>
      </c>
      <c r="L659" t="s">
        <v>1233</v>
      </c>
      <c r="N659">
        <v>1</v>
      </c>
      <c r="O659" s="1">
        <v>46114.371493055558</v>
      </c>
      <c r="Q659" t="s">
        <v>147</v>
      </c>
      <c r="R659" t="s">
        <v>589</v>
      </c>
    </row>
    <row r="660" spans="1:18" ht="15" customHeight="1">
      <c r="A660" t="s">
        <v>1543</v>
      </c>
      <c r="B660" s="1">
        <v>46114.377627314818</v>
      </c>
      <c r="C660" t="s">
        <v>61</v>
      </c>
      <c r="D660" t="s">
        <v>9</v>
      </c>
      <c r="H660" t="s">
        <v>675</v>
      </c>
      <c r="I660" t="s">
        <v>1233</v>
      </c>
      <c r="J660" t="s">
        <v>75</v>
      </c>
      <c r="K660" t="s">
        <v>76</v>
      </c>
      <c r="L660" t="s">
        <v>1233</v>
      </c>
      <c r="N660">
        <v>1</v>
      </c>
      <c r="O660" s="1">
        <v>46114.380960648145</v>
      </c>
      <c r="Q660" t="s">
        <v>147</v>
      </c>
      <c r="R660" t="s">
        <v>125</v>
      </c>
    </row>
    <row r="661" spans="1:18" ht="15" customHeight="1">
      <c r="A661" t="s">
        <v>1544</v>
      </c>
      <c r="B661" s="1">
        <v>46114.494212962964</v>
      </c>
      <c r="C661" t="s">
        <v>61</v>
      </c>
      <c r="D661" t="s">
        <v>9</v>
      </c>
      <c r="H661" t="s">
        <v>1545</v>
      </c>
      <c r="I661" t="s">
        <v>389</v>
      </c>
      <c r="J661" t="s">
        <v>75</v>
      </c>
      <c r="K661" t="s">
        <v>81</v>
      </c>
      <c r="L661" t="s">
        <v>389</v>
      </c>
      <c r="N661">
        <v>0</v>
      </c>
      <c r="O661" s="1">
        <v>46115.600983796299</v>
      </c>
      <c r="P661" t="s">
        <v>82</v>
      </c>
      <c r="Q661" t="s">
        <v>69</v>
      </c>
      <c r="R661" t="s">
        <v>77</v>
      </c>
    </row>
    <row r="662" spans="1:18" ht="15" customHeight="1">
      <c r="A662" t="s">
        <v>1546</v>
      </c>
      <c r="B662" s="1">
        <v>46114.615960648145</v>
      </c>
      <c r="C662" t="s">
        <v>61</v>
      </c>
      <c r="D662" t="s">
        <v>9</v>
      </c>
      <c r="H662" s="2" t="s">
        <v>1547</v>
      </c>
      <c r="I662" t="s">
        <v>540</v>
      </c>
      <c r="J662" t="s">
        <v>75</v>
      </c>
      <c r="K662" t="s">
        <v>81</v>
      </c>
      <c r="L662" t="s">
        <v>540</v>
      </c>
      <c r="N662">
        <v>0</v>
      </c>
      <c r="O662" s="1">
        <v>46115.355995370373</v>
      </c>
      <c r="P662" t="s">
        <v>82</v>
      </c>
      <c r="Q662" t="s">
        <v>69</v>
      </c>
      <c r="R662" t="s">
        <v>92</v>
      </c>
    </row>
    <row r="663" spans="1:18" ht="15" customHeight="1">
      <c r="A663" t="s">
        <v>1548</v>
      </c>
      <c r="B663" s="1">
        <v>46114.616319444445</v>
      </c>
      <c r="C663" t="s">
        <v>61</v>
      </c>
      <c r="D663" t="s">
        <v>9</v>
      </c>
      <c r="H663" s="2" t="s">
        <v>1549</v>
      </c>
      <c r="I663" t="s">
        <v>981</v>
      </c>
      <c r="J663" t="s">
        <v>66</v>
      </c>
      <c r="K663" t="s">
        <v>76</v>
      </c>
      <c r="L663" t="s">
        <v>981</v>
      </c>
      <c r="N663">
        <v>0</v>
      </c>
      <c r="O663" s="1">
        <v>46129.673587962963</v>
      </c>
      <c r="P663" t="s">
        <v>82</v>
      </c>
      <c r="Q663" t="s">
        <v>263</v>
      </c>
      <c r="R663" t="s">
        <v>780</v>
      </c>
    </row>
    <row r="664" spans="1:18" ht="15" customHeight="1">
      <c r="A664" t="s">
        <v>1550</v>
      </c>
      <c r="B664" s="1">
        <v>46114.675775462965</v>
      </c>
      <c r="C664" t="s">
        <v>61</v>
      </c>
      <c r="D664" t="s">
        <v>9</v>
      </c>
      <c r="H664" t="s">
        <v>171</v>
      </c>
      <c r="I664" t="s">
        <v>1551</v>
      </c>
      <c r="J664" t="s">
        <v>75</v>
      </c>
      <c r="K664" t="s">
        <v>76</v>
      </c>
      <c r="L664" t="s">
        <v>1551</v>
      </c>
      <c r="N664">
        <v>1</v>
      </c>
      <c r="O664" s="1">
        <v>46114.680821759262</v>
      </c>
      <c r="Q664" t="s">
        <v>69</v>
      </c>
      <c r="R664" t="s">
        <v>92</v>
      </c>
    </row>
    <row r="665" spans="1:18" ht="15" customHeight="1">
      <c r="A665" t="s">
        <v>1552</v>
      </c>
      <c r="B665" s="1">
        <v>46114.649953703702</v>
      </c>
      <c r="C665" t="s">
        <v>61</v>
      </c>
      <c r="D665" t="s">
        <v>9</v>
      </c>
      <c r="H665" s="2" t="s">
        <v>1553</v>
      </c>
      <c r="I665" t="s">
        <v>202</v>
      </c>
      <c r="J665" t="s">
        <v>66</v>
      </c>
      <c r="K665" t="s">
        <v>76</v>
      </c>
      <c r="L665" t="s">
        <v>202</v>
      </c>
      <c r="N665">
        <v>0</v>
      </c>
      <c r="O665" s="1">
        <v>46115.467187499999</v>
      </c>
      <c r="P665" t="s">
        <v>82</v>
      </c>
      <c r="Q665" t="s">
        <v>69</v>
      </c>
      <c r="R665" t="s">
        <v>780</v>
      </c>
    </row>
    <row r="666" spans="1:18" ht="15" customHeight="1">
      <c r="A666" t="s">
        <v>1554</v>
      </c>
      <c r="B666" s="1">
        <v>46114.698344907411</v>
      </c>
      <c r="C666" t="s">
        <v>956</v>
      </c>
      <c r="D666" t="s">
        <v>9</v>
      </c>
      <c r="H666" s="2" t="s">
        <v>1555</v>
      </c>
      <c r="I666" t="s">
        <v>395</v>
      </c>
      <c r="J666" t="s">
        <v>75</v>
      </c>
      <c r="K666" t="s">
        <v>81</v>
      </c>
      <c r="L666" t="s">
        <v>395</v>
      </c>
      <c r="N666">
        <v>0</v>
      </c>
      <c r="P666" t="s">
        <v>97</v>
      </c>
      <c r="Q666" t="s">
        <v>211</v>
      </c>
      <c r="R666" t="s">
        <v>77</v>
      </c>
    </row>
    <row r="667" spans="1:18" ht="15" customHeight="1">
      <c r="A667" t="s">
        <v>1556</v>
      </c>
      <c r="B667" s="1">
        <v>46114.708622685182</v>
      </c>
      <c r="C667" t="s">
        <v>61</v>
      </c>
      <c r="D667" t="s">
        <v>9</v>
      </c>
      <c r="H667" s="2" t="s">
        <v>1557</v>
      </c>
      <c r="I667" t="s">
        <v>1558</v>
      </c>
      <c r="J667" t="s">
        <v>75</v>
      </c>
      <c r="K667" t="s">
        <v>76</v>
      </c>
      <c r="L667" t="s">
        <v>1558</v>
      </c>
      <c r="N667">
        <v>0</v>
      </c>
      <c r="O667" s="1">
        <v>46127.305868055555</v>
      </c>
      <c r="P667" t="s">
        <v>97</v>
      </c>
      <c r="Q667" t="s">
        <v>69</v>
      </c>
      <c r="R667" t="s">
        <v>77</v>
      </c>
    </row>
    <row r="668" spans="1:18" ht="15" customHeight="1">
      <c r="A668" t="s">
        <v>1559</v>
      </c>
      <c r="B668" s="1">
        <v>46115.490127314813</v>
      </c>
      <c r="C668" t="s">
        <v>61</v>
      </c>
      <c r="D668" t="s">
        <v>9</v>
      </c>
      <c r="H668" s="2" t="s">
        <v>1560</v>
      </c>
      <c r="I668" t="s">
        <v>719</v>
      </c>
      <c r="J668" t="s">
        <v>75</v>
      </c>
      <c r="K668" t="s">
        <v>76</v>
      </c>
      <c r="L668" t="s">
        <v>719</v>
      </c>
      <c r="N668">
        <v>1</v>
      </c>
      <c r="O668" s="1">
        <v>46115.493506944447</v>
      </c>
      <c r="Q668" t="s">
        <v>69</v>
      </c>
      <c r="R668" t="s">
        <v>155</v>
      </c>
    </row>
    <row r="669" spans="1:18" ht="15" customHeight="1">
      <c r="A669" t="s">
        <v>1561</v>
      </c>
      <c r="B669" s="1">
        <v>46115.491203703707</v>
      </c>
      <c r="C669" t="s">
        <v>61</v>
      </c>
      <c r="D669" t="s">
        <v>9</v>
      </c>
      <c r="H669" t="s">
        <v>1562</v>
      </c>
      <c r="I669" t="s">
        <v>1500</v>
      </c>
      <c r="J669" t="s">
        <v>75</v>
      </c>
      <c r="K669" t="s">
        <v>76</v>
      </c>
      <c r="L669" t="s">
        <v>1500</v>
      </c>
      <c r="N669">
        <v>1</v>
      </c>
      <c r="O669" s="1">
        <v>46115.498078703706</v>
      </c>
      <c r="Q669" t="s">
        <v>276</v>
      </c>
      <c r="R669" t="s">
        <v>83</v>
      </c>
    </row>
    <row r="670" spans="1:18" ht="15" customHeight="1">
      <c r="A670" t="s">
        <v>1563</v>
      </c>
      <c r="B670" s="1">
        <v>46115.667569444442</v>
      </c>
      <c r="C670" t="s">
        <v>61</v>
      </c>
      <c r="D670" t="s">
        <v>9</v>
      </c>
      <c r="H670" s="2" t="s">
        <v>1564</v>
      </c>
      <c r="I670" t="s">
        <v>140</v>
      </c>
      <c r="J670" t="s">
        <v>75</v>
      </c>
      <c r="K670" t="s">
        <v>76</v>
      </c>
      <c r="L670" t="s">
        <v>140</v>
      </c>
      <c r="N670">
        <v>1</v>
      </c>
      <c r="O670" s="1">
        <v>46115.669131944444</v>
      </c>
      <c r="Q670" t="s">
        <v>141</v>
      </c>
      <c r="R670" t="s">
        <v>155</v>
      </c>
    </row>
    <row r="671" spans="1:18" ht="15" customHeight="1">
      <c r="A671" t="s">
        <v>1565</v>
      </c>
      <c r="B671" s="1">
        <v>46115.70113425926</v>
      </c>
      <c r="C671" t="s">
        <v>61</v>
      </c>
      <c r="D671" t="s">
        <v>9</v>
      </c>
      <c r="H671" t="s">
        <v>1566</v>
      </c>
      <c r="I671" t="s">
        <v>167</v>
      </c>
      <c r="J671" t="s">
        <v>75</v>
      </c>
      <c r="K671" t="s">
        <v>76</v>
      </c>
      <c r="L671" t="s">
        <v>167</v>
      </c>
      <c r="N671">
        <v>0</v>
      </c>
      <c r="O671" s="1">
        <v>46120.312118055554</v>
      </c>
      <c r="P671" t="s">
        <v>97</v>
      </c>
      <c r="Q671" t="s">
        <v>117</v>
      </c>
      <c r="R671" t="s">
        <v>167</v>
      </c>
    </row>
    <row r="672" spans="1:18" ht="15" customHeight="1">
      <c r="A672" t="s">
        <v>1567</v>
      </c>
      <c r="B672" s="1">
        <v>46119.405243055553</v>
      </c>
      <c r="C672" t="s">
        <v>61</v>
      </c>
      <c r="D672" t="s">
        <v>9</v>
      </c>
      <c r="H672" t="s">
        <v>1568</v>
      </c>
      <c r="I672" t="s">
        <v>121</v>
      </c>
      <c r="J672" t="s">
        <v>75</v>
      </c>
      <c r="K672" t="s">
        <v>76</v>
      </c>
      <c r="L672" t="s">
        <v>121</v>
      </c>
      <c r="N672">
        <v>1</v>
      </c>
      <c r="O672" s="1">
        <v>46119.413726851853</v>
      </c>
      <c r="Q672" t="s">
        <v>69</v>
      </c>
      <c r="R672" t="s">
        <v>92</v>
      </c>
    </row>
    <row r="673" spans="1:18" ht="15" customHeight="1">
      <c r="A673" t="s">
        <v>1569</v>
      </c>
      <c r="B673" s="1">
        <v>46119.441828703704</v>
      </c>
      <c r="C673" t="s">
        <v>184</v>
      </c>
      <c r="D673" t="s">
        <v>9</v>
      </c>
      <c r="H673" s="2" t="s">
        <v>1570</v>
      </c>
      <c r="I673" t="s">
        <v>210</v>
      </c>
      <c r="J673" t="s">
        <v>75</v>
      </c>
      <c r="K673" t="s">
        <v>76</v>
      </c>
      <c r="L673" t="s">
        <v>210</v>
      </c>
      <c r="N673">
        <v>0</v>
      </c>
      <c r="P673" t="s">
        <v>97</v>
      </c>
      <c r="R673" t="s">
        <v>210</v>
      </c>
    </row>
    <row r="674" spans="1:18" ht="15" customHeight="1">
      <c r="A674" t="s">
        <v>1571</v>
      </c>
      <c r="B674" s="1">
        <v>46119.528298611112</v>
      </c>
      <c r="C674" t="s">
        <v>61</v>
      </c>
      <c r="D674" t="s">
        <v>9</v>
      </c>
      <c r="H674" s="2" t="s">
        <v>1572</v>
      </c>
      <c r="I674" t="s">
        <v>708</v>
      </c>
      <c r="J674" t="s">
        <v>75</v>
      </c>
      <c r="K674" t="s">
        <v>81</v>
      </c>
      <c r="L674" t="s">
        <v>708</v>
      </c>
      <c r="N674">
        <v>0</v>
      </c>
      <c r="O674" s="1">
        <v>46119.668877314813</v>
      </c>
      <c r="P674" t="s">
        <v>82</v>
      </c>
      <c r="Q674" t="s">
        <v>69</v>
      </c>
      <c r="R674" t="s">
        <v>125</v>
      </c>
    </row>
    <row r="675" spans="1:18" ht="15" customHeight="1">
      <c r="A675" t="s">
        <v>1573</v>
      </c>
      <c r="B675" s="1">
        <v>46119.604097222225</v>
      </c>
      <c r="C675" t="s">
        <v>61</v>
      </c>
      <c r="D675" t="s">
        <v>9</v>
      </c>
      <c r="H675" t="s">
        <v>1574</v>
      </c>
      <c r="I675" t="s">
        <v>167</v>
      </c>
      <c r="J675" t="s">
        <v>75</v>
      </c>
      <c r="K675" t="s">
        <v>76</v>
      </c>
      <c r="L675" t="s">
        <v>167</v>
      </c>
      <c r="N675">
        <v>0</v>
      </c>
      <c r="O675" s="1">
        <v>46127.302824074075</v>
      </c>
      <c r="P675" t="s">
        <v>97</v>
      </c>
      <c r="Q675" t="s">
        <v>98</v>
      </c>
      <c r="R675" t="s">
        <v>167</v>
      </c>
    </row>
    <row r="676" spans="1:18" ht="15" customHeight="1">
      <c r="A676" t="s">
        <v>1575</v>
      </c>
      <c r="B676" s="1">
        <v>46119.718391203707</v>
      </c>
      <c r="C676" t="s">
        <v>61</v>
      </c>
      <c r="D676" t="s">
        <v>9</v>
      </c>
      <c r="H676" s="2" t="s">
        <v>1576</v>
      </c>
      <c r="I676" t="s">
        <v>214</v>
      </c>
      <c r="J676" t="s">
        <v>75</v>
      </c>
      <c r="K676" t="s">
        <v>81</v>
      </c>
      <c r="L676" t="s">
        <v>214</v>
      </c>
      <c r="N676">
        <v>0</v>
      </c>
      <c r="O676" s="1">
        <v>46129.318935185183</v>
      </c>
      <c r="P676" t="s">
        <v>97</v>
      </c>
      <c r="Q676" t="s">
        <v>98</v>
      </c>
      <c r="R676" t="s">
        <v>125</v>
      </c>
    </row>
    <row r="677" spans="1:18" ht="15" customHeight="1">
      <c r="A677" t="s">
        <v>1577</v>
      </c>
      <c r="B677" s="1">
        <v>46119.73333333333</v>
      </c>
      <c r="C677" t="s">
        <v>61</v>
      </c>
      <c r="D677" t="s">
        <v>9</v>
      </c>
      <c r="H677" s="2" t="s">
        <v>1578</v>
      </c>
      <c r="I677" t="s">
        <v>917</v>
      </c>
      <c r="J677" t="s">
        <v>75</v>
      </c>
      <c r="K677" t="s">
        <v>81</v>
      </c>
      <c r="L677" t="s">
        <v>917</v>
      </c>
      <c r="N677">
        <v>0</v>
      </c>
      <c r="O677" s="1">
        <v>46122.626759259256</v>
      </c>
      <c r="P677" t="s">
        <v>82</v>
      </c>
      <c r="Q677" t="s">
        <v>69</v>
      </c>
      <c r="R677" t="s">
        <v>125</v>
      </c>
    </row>
    <row r="678" spans="1:18" ht="15" customHeight="1">
      <c r="A678" t="s">
        <v>1579</v>
      </c>
      <c r="B678" s="1">
        <v>46119.739259259259</v>
      </c>
      <c r="C678" t="s">
        <v>61</v>
      </c>
      <c r="D678" t="s">
        <v>9</v>
      </c>
      <c r="H678" s="2" t="s">
        <v>1580</v>
      </c>
      <c r="I678" t="s">
        <v>186</v>
      </c>
      <c r="J678" t="s">
        <v>75</v>
      </c>
      <c r="K678" t="s">
        <v>81</v>
      </c>
      <c r="L678" t="s">
        <v>186</v>
      </c>
      <c r="N678">
        <v>0</v>
      </c>
      <c r="O678" s="1">
        <v>46127.304583333331</v>
      </c>
      <c r="P678" t="s">
        <v>97</v>
      </c>
      <c r="Q678" t="s">
        <v>117</v>
      </c>
      <c r="R678" t="s">
        <v>92</v>
      </c>
    </row>
    <row r="679" spans="1:18" ht="15" customHeight="1">
      <c r="A679" t="s">
        <v>1581</v>
      </c>
      <c r="B679" s="1">
        <v>46119.778692129628</v>
      </c>
      <c r="C679" t="s">
        <v>61</v>
      </c>
      <c r="D679" t="s">
        <v>9</v>
      </c>
      <c r="H679" s="2" t="s">
        <v>1582</v>
      </c>
      <c r="I679" t="s">
        <v>175</v>
      </c>
      <c r="J679" t="s">
        <v>75</v>
      </c>
      <c r="K679" t="s">
        <v>81</v>
      </c>
      <c r="L679" t="s">
        <v>175</v>
      </c>
      <c r="N679">
        <v>0</v>
      </c>
      <c r="O679" s="1">
        <v>46127.305613425924</v>
      </c>
      <c r="P679" t="s">
        <v>97</v>
      </c>
      <c r="Q679" t="s">
        <v>69</v>
      </c>
      <c r="R679" t="s">
        <v>92</v>
      </c>
    </row>
    <row r="680" spans="1:18" ht="15" customHeight="1">
      <c r="A680" t="s">
        <v>1583</v>
      </c>
      <c r="B680" s="1">
        <v>46120.342777777776</v>
      </c>
      <c r="C680" t="s">
        <v>61</v>
      </c>
      <c r="D680" t="s">
        <v>9</v>
      </c>
      <c r="H680" s="2" t="s">
        <v>1584</v>
      </c>
      <c r="I680" t="s">
        <v>118</v>
      </c>
      <c r="J680" t="s">
        <v>75</v>
      </c>
      <c r="K680" t="s">
        <v>76</v>
      </c>
      <c r="L680" t="s">
        <v>118</v>
      </c>
      <c r="N680">
        <v>0</v>
      </c>
      <c r="O680" s="1">
        <v>46129.352418981478</v>
      </c>
      <c r="P680" t="s">
        <v>97</v>
      </c>
      <c r="Q680" t="s">
        <v>331</v>
      </c>
      <c r="R680" t="s">
        <v>118</v>
      </c>
    </row>
    <row r="681" spans="1:18" ht="15" customHeight="1">
      <c r="A681" t="s">
        <v>1585</v>
      </c>
      <c r="B681" s="1">
        <v>46120.357199074075</v>
      </c>
      <c r="C681" t="s">
        <v>61</v>
      </c>
      <c r="D681" t="s">
        <v>9</v>
      </c>
      <c r="H681" s="2" t="s">
        <v>1586</v>
      </c>
      <c r="I681" t="s">
        <v>113</v>
      </c>
      <c r="J681" t="s">
        <v>75</v>
      </c>
      <c r="K681" t="s">
        <v>81</v>
      </c>
      <c r="L681" t="s">
        <v>113</v>
      </c>
      <c r="N681">
        <v>0</v>
      </c>
      <c r="O681" s="1">
        <v>46120.540196759262</v>
      </c>
      <c r="P681" t="s">
        <v>82</v>
      </c>
      <c r="Q681" t="s">
        <v>117</v>
      </c>
      <c r="R681" t="s">
        <v>125</v>
      </c>
    </row>
    <row r="682" spans="1:18" ht="15" customHeight="1">
      <c r="A682" t="s">
        <v>1587</v>
      </c>
      <c r="B682" s="1">
        <v>46120.401585648149</v>
      </c>
      <c r="C682" t="s">
        <v>61</v>
      </c>
      <c r="D682" t="s">
        <v>9</v>
      </c>
      <c r="H682" s="2" t="s">
        <v>1588</v>
      </c>
      <c r="I682" t="s">
        <v>182</v>
      </c>
      <c r="J682" t="s">
        <v>75</v>
      </c>
      <c r="K682" t="s">
        <v>76</v>
      </c>
      <c r="L682" t="s">
        <v>182</v>
      </c>
      <c r="N682">
        <v>0</v>
      </c>
      <c r="O682" s="1">
        <v>46120.410150462965</v>
      </c>
      <c r="P682" t="s">
        <v>91</v>
      </c>
      <c r="Q682" t="s">
        <v>147</v>
      </c>
      <c r="R682" t="s">
        <v>77</v>
      </c>
    </row>
    <row r="683" spans="1:18" ht="15" customHeight="1">
      <c r="A683" t="s">
        <v>1589</v>
      </c>
      <c r="B683" s="1">
        <v>46120.462129629632</v>
      </c>
      <c r="C683" t="s">
        <v>61</v>
      </c>
      <c r="D683" t="s">
        <v>9</v>
      </c>
      <c r="H683" t="s">
        <v>1590</v>
      </c>
      <c r="I683" t="s">
        <v>113</v>
      </c>
      <c r="J683" t="s">
        <v>75</v>
      </c>
      <c r="K683" t="s">
        <v>81</v>
      </c>
      <c r="L683" t="s">
        <v>113</v>
      </c>
      <c r="N683">
        <v>0</v>
      </c>
      <c r="O683" s="1">
        <v>46120.584074074075</v>
      </c>
      <c r="P683" t="s">
        <v>82</v>
      </c>
      <c r="Q683" t="s">
        <v>117</v>
      </c>
      <c r="R683" t="s">
        <v>92</v>
      </c>
    </row>
    <row r="684" spans="1:18" ht="15" customHeight="1">
      <c r="A684" t="s">
        <v>1591</v>
      </c>
      <c r="B684" s="1">
        <v>46120.469178240739</v>
      </c>
      <c r="C684" t="s">
        <v>61</v>
      </c>
      <c r="D684" t="s">
        <v>9</v>
      </c>
      <c r="H684" s="2" t="s">
        <v>1592</v>
      </c>
      <c r="I684" t="s">
        <v>395</v>
      </c>
      <c r="J684" t="s">
        <v>66</v>
      </c>
      <c r="K684" t="s">
        <v>81</v>
      </c>
      <c r="L684" t="s">
        <v>395</v>
      </c>
      <c r="N684">
        <v>0</v>
      </c>
      <c r="O684" s="1">
        <v>46122.622129629628</v>
      </c>
      <c r="P684" t="s">
        <v>82</v>
      </c>
      <c r="Q684" t="s">
        <v>69</v>
      </c>
      <c r="R684" t="s">
        <v>125</v>
      </c>
    </row>
    <row r="685" spans="1:18" ht="15" customHeight="1">
      <c r="A685" t="s">
        <v>1593</v>
      </c>
      <c r="B685" s="1">
        <v>46120.493773148148</v>
      </c>
      <c r="C685" t="s">
        <v>61</v>
      </c>
      <c r="D685" t="s">
        <v>9</v>
      </c>
      <c r="H685" s="2" t="s">
        <v>1594</v>
      </c>
      <c r="I685" t="s">
        <v>101</v>
      </c>
      <c r="J685" t="s">
        <v>75</v>
      </c>
      <c r="K685" t="s">
        <v>81</v>
      </c>
      <c r="L685" t="s">
        <v>101</v>
      </c>
      <c r="N685">
        <v>0</v>
      </c>
      <c r="O685" s="1">
        <v>46134.313032407408</v>
      </c>
      <c r="P685" t="s">
        <v>97</v>
      </c>
      <c r="Q685" t="s">
        <v>211</v>
      </c>
      <c r="R685" t="s">
        <v>155</v>
      </c>
    </row>
    <row r="686" spans="1:18" ht="15" customHeight="1">
      <c r="A686" t="s">
        <v>1595</v>
      </c>
      <c r="B686" s="1">
        <v>46120.691041666665</v>
      </c>
      <c r="C686" t="s">
        <v>165</v>
      </c>
      <c r="D686" t="s">
        <v>9</v>
      </c>
      <c r="H686" s="2" t="s">
        <v>1596</v>
      </c>
      <c r="I686" t="s">
        <v>824</v>
      </c>
      <c r="J686" t="s">
        <v>75</v>
      </c>
      <c r="K686" t="s">
        <v>81</v>
      </c>
      <c r="L686" t="s">
        <v>824</v>
      </c>
      <c r="N686">
        <v>0</v>
      </c>
      <c r="P686" t="s">
        <v>82</v>
      </c>
      <c r="R686" t="s">
        <v>155</v>
      </c>
    </row>
    <row r="687" spans="1:18" ht="15" customHeight="1">
      <c r="A687" t="s">
        <v>1597</v>
      </c>
      <c r="B687" s="1">
        <v>46120.71125</v>
      </c>
      <c r="C687" t="s">
        <v>61</v>
      </c>
      <c r="D687" t="s">
        <v>9</v>
      </c>
      <c r="H687" s="2" t="s">
        <v>1598</v>
      </c>
      <c r="I687" t="s">
        <v>121</v>
      </c>
      <c r="J687" t="s">
        <v>75</v>
      </c>
      <c r="K687" t="s">
        <v>76</v>
      </c>
      <c r="L687" t="s">
        <v>121</v>
      </c>
      <c r="N687">
        <v>1</v>
      </c>
      <c r="O687" s="1">
        <v>46120.716782407406</v>
      </c>
      <c r="Q687" t="s">
        <v>176</v>
      </c>
      <c r="R687" t="s">
        <v>589</v>
      </c>
    </row>
    <row r="688" spans="1:18" ht="15" customHeight="1">
      <c r="A688" t="s">
        <v>1599</v>
      </c>
      <c r="B688" s="1">
        <v>46120.723321759258</v>
      </c>
      <c r="C688" t="s">
        <v>61</v>
      </c>
      <c r="D688" t="s">
        <v>9</v>
      </c>
      <c r="H688" s="2" t="s">
        <v>1600</v>
      </c>
      <c r="I688" t="s">
        <v>281</v>
      </c>
      <c r="J688" t="s">
        <v>75</v>
      </c>
      <c r="K688" t="s">
        <v>81</v>
      </c>
      <c r="L688" t="s">
        <v>281</v>
      </c>
      <c r="N688">
        <v>0</v>
      </c>
      <c r="O688" s="1">
        <v>46121.409317129626</v>
      </c>
      <c r="P688" t="s">
        <v>82</v>
      </c>
      <c r="Q688" t="s">
        <v>69</v>
      </c>
      <c r="R688" t="s">
        <v>77</v>
      </c>
    </row>
    <row r="689" spans="1:18" ht="15" customHeight="1">
      <c r="A689" t="s">
        <v>1601</v>
      </c>
      <c r="B689" s="1">
        <v>46120.72587962963</v>
      </c>
      <c r="C689" t="s">
        <v>61</v>
      </c>
      <c r="D689" t="s">
        <v>9</v>
      </c>
      <c r="H689" s="2" t="s">
        <v>1602</v>
      </c>
      <c r="I689" t="s">
        <v>101</v>
      </c>
      <c r="J689" t="s">
        <v>75</v>
      </c>
      <c r="K689" t="s">
        <v>81</v>
      </c>
      <c r="L689" t="s">
        <v>101</v>
      </c>
      <c r="N689">
        <v>0</v>
      </c>
      <c r="O689" s="1">
        <v>46122.443749999999</v>
      </c>
      <c r="P689" t="s">
        <v>82</v>
      </c>
      <c r="Q689" t="s">
        <v>117</v>
      </c>
      <c r="R689" t="s">
        <v>77</v>
      </c>
    </row>
    <row r="690" spans="1:18" ht="15" customHeight="1">
      <c r="A690" t="s">
        <v>1603</v>
      </c>
      <c r="B690" s="1">
        <v>46120.729467592595</v>
      </c>
      <c r="C690" t="s">
        <v>61</v>
      </c>
      <c r="D690" t="s">
        <v>9</v>
      </c>
      <c r="H690" s="2" t="s">
        <v>1604</v>
      </c>
      <c r="I690" t="s">
        <v>395</v>
      </c>
      <c r="J690" t="s">
        <v>75</v>
      </c>
      <c r="K690" t="s">
        <v>81</v>
      </c>
      <c r="L690" t="s">
        <v>395</v>
      </c>
      <c r="N690">
        <v>0</v>
      </c>
      <c r="O690" s="1">
        <v>46129.31858796296</v>
      </c>
      <c r="P690" t="s">
        <v>97</v>
      </c>
      <c r="Q690" t="s">
        <v>69</v>
      </c>
      <c r="R690" t="s">
        <v>77</v>
      </c>
    </row>
    <row r="691" spans="1:18" ht="15" customHeight="1">
      <c r="A691" t="s">
        <v>1605</v>
      </c>
      <c r="B691" s="1">
        <v>46120.82540509259</v>
      </c>
      <c r="C691" t="s">
        <v>61</v>
      </c>
      <c r="D691" t="s">
        <v>9</v>
      </c>
      <c r="H691" t="s">
        <v>1606</v>
      </c>
      <c r="I691" t="s">
        <v>485</v>
      </c>
      <c r="J691" t="s">
        <v>75</v>
      </c>
      <c r="K691" t="s">
        <v>81</v>
      </c>
      <c r="L691" t="s">
        <v>485</v>
      </c>
      <c r="N691">
        <v>0</v>
      </c>
      <c r="O691" s="1">
        <v>46122.707048611112</v>
      </c>
      <c r="P691" t="s">
        <v>82</v>
      </c>
      <c r="Q691" t="s">
        <v>69</v>
      </c>
      <c r="R691" t="s">
        <v>780</v>
      </c>
    </row>
    <row r="692" spans="1:18" ht="15" customHeight="1">
      <c r="A692" t="s">
        <v>1607</v>
      </c>
      <c r="B692" s="1">
        <v>46121.344282407408</v>
      </c>
      <c r="C692" t="s">
        <v>61</v>
      </c>
      <c r="D692" t="s">
        <v>9</v>
      </c>
      <c r="H692" s="2" t="s">
        <v>1608</v>
      </c>
      <c r="I692" t="s">
        <v>118</v>
      </c>
      <c r="J692" t="s">
        <v>75</v>
      </c>
      <c r="K692" t="s">
        <v>76</v>
      </c>
      <c r="L692" t="s">
        <v>118</v>
      </c>
      <c r="N692">
        <v>0</v>
      </c>
      <c r="O692" s="1">
        <v>46122.302199074074</v>
      </c>
      <c r="P692" t="s">
        <v>97</v>
      </c>
      <c r="Q692" t="s">
        <v>211</v>
      </c>
      <c r="R692" t="s">
        <v>118</v>
      </c>
    </row>
    <row r="693" spans="1:18" ht="15" customHeight="1">
      <c r="A693" t="s">
        <v>1609</v>
      </c>
      <c r="B693" s="1">
        <v>46121.489432870374</v>
      </c>
      <c r="C693" t="s">
        <v>61</v>
      </c>
      <c r="D693" t="s">
        <v>9</v>
      </c>
      <c r="H693" s="2" t="s">
        <v>174</v>
      </c>
      <c r="I693" t="s">
        <v>121</v>
      </c>
      <c r="J693" t="s">
        <v>75</v>
      </c>
      <c r="K693" t="s">
        <v>76</v>
      </c>
      <c r="L693" t="s">
        <v>121</v>
      </c>
      <c r="N693">
        <v>1</v>
      </c>
      <c r="O693" s="1">
        <v>46121.492129629631</v>
      </c>
      <c r="Q693" t="s">
        <v>176</v>
      </c>
      <c r="R693" t="s">
        <v>125</v>
      </c>
    </row>
    <row r="694" spans="1:18" ht="15" customHeight="1">
      <c r="A694" t="s">
        <v>1610</v>
      </c>
      <c r="B694" s="1">
        <v>46120.804525462961</v>
      </c>
      <c r="C694" t="s">
        <v>61</v>
      </c>
      <c r="D694" t="s">
        <v>9</v>
      </c>
      <c r="H694" s="2" t="s">
        <v>1611</v>
      </c>
      <c r="I694" t="s">
        <v>337</v>
      </c>
      <c r="J694" t="s">
        <v>75</v>
      </c>
      <c r="K694" t="s">
        <v>81</v>
      </c>
      <c r="L694" t="s">
        <v>337</v>
      </c>
      <c r="N694">
        <v>0</v>
      </c>
      <c r="O694" s="1">
        <v>46125.642916666664</v>
      </c>
      <c r="P694" t="s">
        <v>97</v>
      </c>
      <c r="Q694" t="s">
        <v>69</v>
      </c>
      <c r="R694" t="s">
        <v>780</v>
      </c>
    </row>
    <row r="695" spans="1:18" ht="15" customHeight="1">
      <c r="A695" t="s">
        <v>1612</v>
      </c>
      <c r="B695" s="1">
        <v>46121.709317129629</v>
      </c>
      <c r="C695" t="s">
        <v>549</v>
      </c>
      <c r="D695" t="s">
        <v>9</v>
      </c>
      <c r="H695" s="2" t="s">
        <v>1613</v>
      </c>
      <c r="I695" t="s">
        <v>179</v>
      </c>
      <c r="J695" t="s">
        <v>75</v>
      </c>
      <c r="K695" t="s">
        <v>81</v>
      </c>
      <c r="L695" t="s">
        <v>179</v>
      </c>
      <c r="N695">
        <v>0</v>
      </c>
      <c r="O695" s="1">
        <v>46132.656550925924</v>
      </c>
      <c r="P695" t="s">
        <v>97</v>
      </c>
      <c r="Q695" t="s">
        <v>98</v>
      </c>
      <c r="R695" t="s">
        <v>155</v>
      </c>
    </row>
    <row r="696" spans="1:18" ht="15" customHeight="1">
      <c r="A696" t="s">
        <v>1614</v>
      </c>
      <c r="B696" s="1">
        <v>46121.718761574077</v>
      </c>
      <c r="C696" t="s">
        <v>165</v>
      </c>
      <c r="D696" t="s">
        <v>9</v>
      </c>
      <c r="H696" s="2" t="s">
        <v>1615</v>
      </c>
      <c r="I696" t="s">
        <v>337</v>
      </c>
      <c r="J696" t="s">
        <v>66</v>
      </c>
      <c r="K696" t="s">
        <v>81</v>
      </c>
      <c r="L696" t="s">
        <v>337</v>
      </c>
      <c r="N696">
        <v>0</v>
      </c>
      <c r="P696" t="s">
        <v>82</v>
      </c>
      <c r="R696" t="s">
        <v>589</v>
      </c>
    </row>
    <row r="697" spans="1:18" ht="15" customHeight="1">
      <c r="A697" t="s">
        <v>1616</v>
      </c>
      <c r="B697" s="1">
        <v>46121.831504629627</v>
      </c>
      <c r="C697" t="s">
        <v>61</v>
      </c>
      <c r="D697" t="s">
        <v>9</v>
      </c>
      <c r="H697" t="s">
        <v>1617</v>
      </c>
      <c r="I697" t="s">
        <v>389</v>
      </c>
      <c r="J697" t="s">
        <v>75</v>
      </c>
      <c r="K697" t="s">
        <v>81</v>
      </c>
      <c r="L697" t="s">
        <v>389</v>
      </c>
      <c r="N697">
        <v>0</v>
      </c>
      <c r="O697" s="1">
        <v>46129.449224537035</v>
      </c>
      <c r="P697" t="s">
        <v>97</v>
      </c>
      <c r="Q697" t="s">
        <v>211</v>
      </c>
      <c r="R697" t="s">
        <v>589</v>
      </c>
    </row>
    <row r="698" spans="1:18" ht="15" customHeight="1">
      <c r="A698" t="s">
        <v>1618</v>
      </c>
      <c r="B698" s="1">
        <v>46122.328206018516</v>
      </c>
      <c r="C698" t="s">
        <v>165</v>
      </c>
      <c r="D698" t="s">
        <v>9</v>
      </c>
      <c r="H698" s="2" t="s">
        <v>1619</v>
      </c>
      <c r="I698" t="s">
        <v>237</v>
      </c>
      <c r="J698" t="s">
        <v>75</v>
      </c>
      <c r="K698" t="s">
        <v>76</v>
      </c>
      <c r="L698" t="s">
        <v>237</v>
      </c>
      <c r="N698">
        <v>0</v>
      </c>
      <c r="P698" t="s">
        <v>82</v>
      </c>
      <c r="R698" t="s">
        <v>118</v>
      </c>
    </row>
    <row r="699" spans="1:18" ht="15" customHeight="1">
      <c r="A699" t="s">
        <v>1620</v>
      </c>
      <c r="B699" s="1">
        <v>46122.330567129633</v>
      </c>
      <c r="C699" t="s">
        <v>165</v>
      </c>
      <c r="D699" t="s">
        <v>9</v>
      </c>
      <c r="H699" s="2" t="s">
        <v>1621</v>
      </c>
      <c r="I699" t="s">
        <v>237</v>
      </c>
      <c r="J699" t="s">
        <v>75</v>
      </c>
      <c r="K699" t="s">
        <v>76</v>
      </c>
      <c r="L699" t="s">
        <v>237</v>
      </c>
      <c r="N699">
        <v>0</v>
      </c>
      <c r="P699" t="s">
        <v>82</v>
      </c>
      <c r="R699" t="s">
        <v>118</v>
      </c>
    </row>
    <row r="700" spans="1:18" ht="15" customHeight="1">
      <c r="A700" t="s">
        <v>1622</v>
      </c>
      <c r="B700" s="1">
        <v>46122.331886574073</v>
      </c>
      <c r="C700" t="s">
        <v>165</v>
      </c>
      <c r="D700" t="s">
        <v>9</v>
      </c>
      <c r="H700" s="2" t="s">
        <v>1623</v>
      </c>
      <c r="I700" t="s">
        <v>237</v>
      </c>
      <c r="J700" t="s">
        <v>75</v>
      </c>
      <c r="K700" t="s">
        <v>76</v>
      </c>
      <c r="L700" t="s">
        <v>237</v>
      </c>
      <c r="N700">
        <v>0</v>
      </c>
      <c r="P700" t="s">
        <v>82</v>
      </c>
      <c r="R700" t="s">
        <v>118</v>
      </c>
    </row>
    <row r="701" spans="1:18" ht="15" customHeight="1">
      <c r="A701" t="s">
        <v>1624</v>
      </c>
      <c r="B701" s="1">
        <v>46122.333229166667</v>
      </c>
      <c r="C701" t="s">
        <v>61</v>
      </c>
      <c r="D701" t="s">
        <v>9</v>
      </c>
      <c r="H701" s="2" t="s">
        <v>1625</v>
      </c>
      <c r="I701" t="s">
        <v>237</v>
      </c>
      <c r="J701" t="s">
        <v>75</v>
      </c>
      <c r="K701" t="s">
        <v>76</v>
      </c>
      <c r="L701" t="s">
        <v>237</v>
      </c>
      <c r="N701">
        <v>0</v>
      </c>
      <c r="O701" s="1">
        <v>46122.649062500001</v>
      </c>
      <c r="P701" t="s">
        <v>82</v>
      </c>
      <c r="Q701" t="s">
        <v>69</v>
      </c>
      <c r="R701" t="s">
        <v>118</v>
      </c>
    </row>
    <row r="702" spans="1:18" ht="15" customHeight="1">
      <c r="A702" t="s">
        <v>1626</v>
      </c>
      <c r="B702" s="1">
        <v>46122.335532407407</v>
      </c>
      <c r="C702" t="s">
        <v>165</v>
      </c>
      <c r="D702" t="s">
        <v>9</v>
      </c>
      <c r="H702" s="2" t="s">
        <v>1627</v>
      </c>
      <c r="I702" t="s">
        <v>237</v>
      </c>
      <c r="J702" t="s">
        <v>75</v>
      </c>
      <c r="K702" t="s">
        <v>76</v>
      </c>
      <c r="L702" t="s">
        <v>237</v>
      </c>
      <c r="N702">
        <v>0</v>
      </c>
      <c r="P702" t="s">
        <v>82</v>
      </c>
      <c r="R702" t="s">
        <v>118</v>
      </c>
    </row>
    <row r="703" spans="1:18" ht="15" customHeight="1">
      <c r="A703" t="s">
        <v>1628</v>
      </c>
      <c r="B703" s="1">
        <v>46122.337789351855</v>
      </c>
      <c r="C703" t="s">
        <v>165</v>
      </c>
      <c r="D703" t="s">
        <v>9</v>
      </c>
      <c r="H703" s="2" t="s">
        <v>1629</v>
      </c>
      <c r="I703" t="s">
        <v>237</v>
      </c>
      <c r="J703" t="s">
        <v>75</v>
      </c>
      <c r="K703" t="s">
        <v>76</v>
      </c>
      <c r="L703" t="s">
        <v>237</v>
      </c>
      <c r="N703">
        <v>0</v>
      </c>
      <c r="P703" t="s">
        <v>82</v>
      </c>
      <c r="R703" t="s">
        <v>118</v>
      </c>
    </row>
    <row r="704" spans="1:18" ht="15" customHeight="1">
      <c r="A704" t="s">
        <v>1630</v>
      </c>
      <c r="B704" s="1">
        <v>46122.469039351854</v>
      </c>
      <c r="C704" t="s">
        <v>549</v>
      </c>
      <c r="D704" t="s">
        <v>9</v>
      </c>
      <c r="H704" s="2" t="s">
        <v>1631</v>
      </c>
      <c r="I704" t="s">
        <v>131</v>
      </c>
      <c r="J704" t="s">
        <v>75</v>
      </c>
      <c r="K704" t="s">
        <v>81</v>
      </c>
      <c r="L704" t="s">
        <v>131</v>
      </c>
      <c r="N704">
        <v>0</v>
      </c>
      <c r="O704" s="1">
        <v>46125.591620370367</v>
      </c>
      <c r="P704" t="s">
        <v>82</v>
      </c>
      <c r="R704" t="s">
        <v>780</v>
      </c>
    </row>
    <row r="705" spans="1:18" ht="15" customHeight="1">
      <c r="A705" t="s">
        <v>1632</v>
      </c>
      <c r="B705" s="1">
        <v>46122.513078703705</v>
      </c>
      <c r="C705" t="s">
        <v>61</v>
      </c>
      <c r="D705" t="s">
        <v>9</v>
      </c>
      <c r="H705" s="2" t="s">
        <v>1633</v>
      </c>
      <c r="I705" t="s">
        <v>634</v>
      </c>
      <c r="J705" t="s">
        <v>75</v>
      </c>
      <c r="K705" t="s">
        <v>76</v>
      </c>
      <c r="L705" t="s">
        <v>634</v>
      </c>
      <c r="N705">
        <v>0</v>
      </c>
      <c r="O705" s="1">
        <v>46127.304259259261</v>
      </c>
      <c r="P705" t="s">
        <v>97</v>
      </c>
      <c r="Q705" t="s">
        <v>69</v>
      </c>
      <c r="R705" t="s">
        <v>118</v>
      </c>
    </row>
    <row r="706" spans="1:18" ht="15" customHeight="1">
      <c r="A706" t="s">
        <v>1634</v>
      </c>
      <c r="B706" s="1">
        <v>46122.59814814815</v>
      </c>
      <c r="C706" t="s">
        <v>61</v>
      </c>
      <c r="D706" t="s">
        <v>9</v>
      </c>
      <c r="H706" t="s">
        <v>171</v>
      </c>
      <c r="I706" t="s">
        <v>121</v>
      </c>
      <c r="J706" t="s">
        <v>75</v>
      </c>
      <c r="K706" t="s">
        <v>76</v>
      </c>
      <c r="L706" t="s">
        <v>121</v>
      </c>
      <c r="N706">
        <v>1</v>
      </c>
      <c r="O706" s="1">
        <v>46122.598449074074</v>
      </c>
      <c r="Q706" t="s">
        <v>69</v>
      </c>
      <c r="R706" t="s">
        <v>83</v>
      </c>
    </row>
    <row r="707" spans="1:18" ht="15" customHeight="1">
      <c r="A707" t="s">
        <v>1635</v>
      </c>
      <c r="B707" s="1">
        <v>46122.619583333333</v>
      </c>
      <c r="C707" t="s">
        <v>61</v>
      </c>
      <c r="D707" t="s">
        <v>9</v>
      </c>
      <c r="H707" s="2" t="s">
        <v>1636</v>
      </c>
      <c r="I707" t="s">
        <v>696</v>
      </c>
      <c r="J707" t="s">
        <v>75</v>
      </c>
      <c r="K707" t="s">
        <v>76</v>
      </c>
      <c r="L707" t="s">
        <v>696</v>
      </c>
      <c r="N707">
        <v>1</v>
      </c>
      <c r="O707" s="1">
        <v>46122.621782407405</v>
      </c>
      <c r="Q707" t="s">
        <v>69</v>
      </c>
      <c r="R707" t="s">
        <v>589</v>
      </c>
    </row>
    <row r="708" spans="1:18" ht="15" customHeight="1">
      <c r="A708" t="s">
        <v>1637</v>
      </c>
      <c r="B708" s="1">
        <v>46122.622233796297</v>
      </c>
      <c r="C708" t="s">
        <v>61</v>
      </c>
      <c r="D708" t="s">
        <v>9</v>
      </c>
      <c r="H708" s="2" t="s">
        <v>1638</v>
      </c>
      <c r="I708" t="s">
        <v>179</v>
      </c>
      <c r="J708" t="s">
        <v>75</v>
      </c>
      <c r="K708" t="s">
        <v>81</v>
      </c>
      <c r="L708" t="s">
        <v>179</v>
      </c>
      <c r="N708">
        <v>0</v>
      </c>
      <c r="O708" s="1">
        <v>46133.601724537039</v>
      </c>
      <c r="P708" t="s">
        <v>97</v>
      </c>
      <c r="Q708" t="s">
        <v>98</v>
      </c>
      <c r="R708" t="s">
        <v>155</v>
      </c>
    </row>
    <row r="709" spans="1:18" ht="15" customHeight="1">
      <c r="A709" t="s">
        <v>1639</v>
      </c>
      <c r="B709" s="1">
        <v>46122.634756944448</v>
      </c>
      <c r="C709" t="s">
        <v>61</v>
      </c>
      <c r="D709" t="s">
        <v>9</v>
      </c>
      <c r="H709" s="2" t="s">
        <v>1640</v>
      </c>
      <c r="I709" t="s">
        <v>118</v>
      </c>
      <c r="J709" t="s">
        <v>75</v>
      </c>
      <c r="K709" t="s">
        <v>76</v>
      </c>
      <c r="L709" t="s">
        <v>118</v>
      </c>
      <c r="N709">
        <v>0</v>
      </c>
      <c r="O709" s="1">
        <v>46127.330613425926</v>
      </c>
      <c r="P709" t="s">
        <v>97</v>
      </c>
      <c r="Q709" t="s">
        <v>98</v>
      </c>
      <c r="R709" t="s">
        <v>118</v>
      </c>
    </row>
    <row r="710" spans="1:18" ht="15" customHeight="1">
      <c r="A710" t="s">
        <v>1641</v>
      </c>
      <c r="B710" s="1">
        <v>46122.945405092592</v>
      </c>
      <c r="C710" t="s">
        <v>61</v>
      </c>
      <c r="D710" t="s">
        <v>62</v>
      </c>
      <c r="H710" s="2" t="s">
        <v>1642</v>
      </c>
      <c r="I710" t="s">
        <v>478</v>
      </c>
      <c r="J710" t="s">
        <v>66</v>
      </c>
      <c r="K710" t="s">
        <v>67</v>
      </c>
      <c r="L710" t="s">
        <v>478</v>
      </c>
      <c r="N710">
        <v>0</v>
      </c>
      <c r="O710" s="1">
        <v>46125.48641203704</v>
      </c>
      <c r="P710" t="s">
        <v>97</v>
      </c>
      <c r="Q710" t="s">
        <v>69</v>
      </c>
      <c r="R710" t="s">
        <v>478</v>
      </c>
    </row>
    <row r="711" spans="1:18" ht="15" customHeight="1">
      <c r="A711" t="s">
        <v>1643</v>
      </c>
      <c r="B711" s="1">
        <v>46125.478460648148</v>
      </c>
      <c r="C711" t="s">
        <v>61</v>
      </c>
      <c r="D711" t="s">
        <v>9</v>
      </c>
      <c r="H711" t="s">
        <v>171</v>
      </c>
      <c r="I711" t="s">
        <v>140</v>
      </c>
      <c r="J711" t="s">
        <v>75</v>
      </c>
      <c r="K711" t="s">
        <v>76</v>
      </c>
      <c r="L711" t="s">
        <v>140</v>
      </c>
      <c r="N711">
        <v>1</v>
      </c>
      <c r="O711" s="1">
        <v>46125.479675925926</v>
      </c>
      <c r="Q711" t="s">
        <v>69</v>
      </c>
      <c r="R711" t="s">
        <v>77</v>
      </c>
    </row>
    <row r="712" spans="1:18" ht="15" customHeight="1">
      <c r="A712" t="s">
        <v>1644</v>
      </c>
      <c r="B712" s="1">
        <v>46125.565798611111</v>
      </c>
      <c r="C712" t="s">
        <v>61</v>
      </c>
      <c r="D712" t="s">
        <v>9</v>
      </c>
      <c r="H712" t="s">
        <v>1645</v>
      </c>
      <c r="I712" t="s">
        <v>656</v>
      </c>
      <c r="J712" t="s">
        <v>75</v>
      </c>
      <c r="K712" t="s">
        <v>76</v>
      </c>
      <c r="L712" t="s">
        <v>656</v>
      </c>
      <c r="N712">
        <v>1</v>
      </c>
      <c r="O712" s="1">
        <v>46125.571446759262</v>
      </c>
      <c r="Q712" t="s">
        <v>69</v>
      </c>
      <c r="R712" t="s">
        <v>354</v>
      </c>
    </row>
    <row r="713" spans="1:18" ht="15" customHeight="1">
      <c r="A713" t="s">
        <v>1646</v>
      </c>
      <c r="B713" s="1">
        <v>46125.582662037035</v>
      </c>
      <c r="C713" t="s">
        <v>61</v>
      </c>
      <c r="D713" t="s">
        <v>9</v>
      </c>
      <c r="H713" s="2" t="s">
        <v>174</v>
      </c>
      <c r="I713" t="s">
        <v>121</v>
      </c>
      <c r="J713" t="s">
        <v>75</v>
      </c>
      <c r="K713" t="s">
        <v>76</v>
      </c>
      <c r="L713" t="s">
        <v>121</v>
      </c>
      <c r="N713">
        <v>1</v>
      </c>
      <c r="O713" s="1">
        <v>46125.58394675926</v>
      </c>
      <c r="Q713" t="s">
        <v>69</v>
      </c>
      <c r="R713" t="s">
        <v>589</v>
      </c>
    </row>
    <row r="714" spans="1:18" ht="15" customHeight="1">
      <c r="A714" t="s">
        <v>1647</v>
      </c>
      <c r="B714" s="1">
        <v>46125.596736111111</v>
      </c>
      <c r="C714" t="s">
        <v>184</v>
      </c>
      <c r="D714" t="s">
        <v>9</v>
      </c>
      <c r="H714" s="2" t="s">
        <v>1648</v>
      </c>
      <c r="I714" t="s">
        <v>214</v>
      </c>
      <c r="J714" t="s">
        <v>75</v>
      </c>
      <c r="K714" t="s">
        <v>81</v>
      </c>
      <c r="L714" t="s">
        <v>214</v>
      </c>
      <c r="N714">
        <v>0</v>
      </c>
      <c r="P714" t="s">
        <v>97</v>
      </c>
      <c r="R714" t="s">
        <v>155</v>
      </c>
    </row>
    <row r="715" spans="1:18" ht="15" customHeight="1">
      <c r="A715" t="s">
        <v>1649</v>
      </c>
      <c r="B715" s="1">
        <v>46125.669004629628</v>
      </c>
      <c r="C715" t="s">
        <v>61</v>
      </c>
      <c r="D715" t="s">
        <v>327</v>
      </c>
      <c r="H715" t="s">
        <v>1650</v>
      </c>
      <c r="I715" t="s">
        <v>497</v>
      </c>
      <c r="J715" t="s">
        <v>66</v>
      </c>
      <c r="K715" t="s">
        <v>76</v>
      </c>
      <c r="L715" t="s">
        <v>497</v>
      </c>
      <c r="N715">
        <v>0</v>
      </c>
      <c r="O715" s="1">
        <v>46126.346655092595</v>
      </c>
      <c r="P715" t="s">
        <v>330</v>
      </c>
      <c r="Q715" t="s">
        <v>331</v>
      </c>
      <c r="R715" t="s">
        <v>497</v>
      </c>
    </row>
    <row r="716" spans="1:18" ht="15" customHeight="1">
      <c r="A716" t="s">
        <v>1651</v>
      </c>
      <c r="B716" s="1">
        <v>46125.684675925928</v>
      </c>
      <c r="C716" t="s">
        <v>61</v>
      </c>
      <c r="D716" t="s">
        <v>9</v>
      </c>
      <c r="H716" t="s">
        <v>1652</v>
      </c>
      <c r="I716" t="s">
        <v>86</v>
      </c>
      <c r="J716" t="s">
        <v>75</v>
      </c>
      <c r="K716" t="s">
        <v>81</v>
      </c>
      <c r="L716" t="s">
        <v>86</v>
      </c>
      <c r="N716">
        <v>0</v>
      </c>
      <c r="O716" s="1">
        <v>46126.466377314813</v>
      </c>
      <c r="P716" t="s">
        <v>82</v>
      </c>
      <c r="Q716" t="s">
        <v>69</v>
      </c>
      <c r="R716" t="s">
        <v>589</v>
      </c>
    </row>
    <row r="717" spans="1:18" ht="15" customHeight="1">
      <c r="A717" t="s">
        <v>1653</v>
      </c>
      <c r="B717" s="1">
        <v>46125.706226851849</v>
      </c>
      <c r="C717" t="s">
        <v>61</v>
      </c>
      <c r="D717" t="s">
        <v>9</v>
      </c>
      <c r="H717" s="2" t="s">
        <v>174</v>
      </c>
      <c r="I717" t="s">
        <v>121</v>
      </c>
      <c r="J717" t="s">
        <v>75</v>
      </c>
      <c r="K717" t="s">
        <v>76</v>
      </c>
      <c r="L717" t="s">
        <v>121</v>
      </c>
      <c r="N717">
        <v>1</v>
      </c>
      <c r="O717" s="1">
        <v>46125.710486111115</v>
      </c>
      <c r="Q717" t="s">
        <v>69</v>
      </c>
      <c r="R717" t="s">
        <v>589</v>
      </c>
    </row>
    <row r="718" spans="1:18" ht="15" customHeight="1">
      <c r="A718" t="s">
        <v>1654</v>
      </c>
      <c r="B718" s="1">
        <v>46125.786828703705</v>
      </c>
      <c r="C718" t="s">
        <v>61</v>
      </c>
      <c r="D718" t="s">
        <v>9</v>
      </c>
      <c r="H718" s="2" t="s">
        <v>1655</v>
      </c>
      <c r="I718" t="s">
        <v>1165</v>
      </c>
      <c r="J718" t="s">
        <v>75</v>
      </c>
      <c r="K718" t="s">
        <v>81</v>
      </c>
      <c r="L718" t="s">
        <v>1165</v>
      </c>
      <c r="N718">
        <v>0</v>
      </c>
      <c r="O718" s="1">
        <v>46133.69326388889</v>
      </c>
      <c r="P718" t="s">
        <v>82</v>
      </c>
      <c r="Q718" t="s">
        <v>69</v>
      </c>
      <c r="R718" t="s">
        <v>780</v>
      </c>
    </row>
    <row r="719" spans="1:18" ht="15" customHeight="1">
      <c r="A719" t="s">
        <v>1656</v>
      </c>
      <c r="B719" s="1">
        <v>46126.286296296297</v>
      </c>
      <c r="C719" t="s">
        <v>61</v>
      </c>
      <c r="D719" t="s">
        <v>62</v>
      </c>
      <c r="H719" t="s">
        <v>1657</v>
      </c>
      <c r="I719" t="s">
        <v>403</v>
      </c>
      <c r="J719" t="s">
        <v>66</v>
      </c>
      <c r="K719" t="s">
        <v>67</v>
      </c>
      <c r="L719" t="s">
        <v>403</v>
      </c>
      <c r="N719">
        <v>0</v>
      </c>
      <c r="O719" s="1">
        <v>46126.620567129627</v>
      </c>
      <c r="P719" t="s">
        <v>97</v>
      </c>
      <c r="Q719" t="s">
        <v>331</v>
      </c>
      <c r="R719" t="s">
        <v>403</v>
      </c>
    </row>
    <row r="720" spans="1:18" ht="15" customHeight="1">
      <c r="A720" t="s">
        <v>1658</v>
      </c>
      <c r="B720" s="1">
        <v>46126.355949074074</v>
      </c>
      <c r="C720" t="s">
        <v>61</v>
      </c>
      <c r="D720" t="s">
        <v>9</v>
      </c>
      <c r="H720" t="s">
        <v>1659</v>
      </c>
      <c r="I720" t="s">
        <v>1660</v>
      </c>
      <c r="J720" t="s">
        <v>75</v>
      </c>
      <c r="K720" t="s">
        <v>76</v>
      </c>
      <c r="L720" t="s">
        <v>1660</v>
      </c>
      <c r="N720">
        <v>1</v>
      </c>
      <c r="O720" s="1">
        <v>46126.359351851854</v>
      </c>
      <c r="Q720" t="s">
        <v>147</v>
      </c>
      <c r="R720" t="s">
        <v>354</v>
      </c>
    </row>
    <row r="721" spans="1:18" ht="15" customHeight="1">
      <c r="A721" t="s">
        <v>1661</v>
      </c>
      <c r="B721" s="1">
        <v>46126.362442129626</v>
      </c>
      <c r="C721" t="s">
        <v>184</v>
      </c>
      <c r="D721" t="s">
        <v>9</v>
      </c>
      <c r="H721" t="s">
        <v>1662</v>
      </c>
      <c r="I721" t="s">
        <v>824</v>
      </c>
      <c r="J721" t="s">
        <v>75</v>
      </c>
      <c r="K721" t="s">
        <v>81</v>
      </c>
      <c r="L721" t="s">
        <v>824</v>
      </c>
      <c r="N721">
        <v>0</v>
      </c>
      <c r="P721" t="s">
        <v>97</v>
      </c>
      <c r="R721" t="s">
        <v>83</v>
      </c>
    </row>
    <row r="722" spans="1:18" ht="15" customHeight="1">
      <c r="A722" t="s">
        <v>1663</v>
      </c>
      <c r="B722" s="1">
        <v>46126.407395833332</v>
      </c>
      <c r="C722" t="s">
        <v>61</v>
      </c>
      <c r="D722" t="s">
        <v>9</v>
      </c>
      <c r="H722" t="s">
        <v>171</v>
      </c>
      <c r="I722" t="s">
        <v>1518</v>
      </c>
      <c r="J722" t="s">
        <v>75</v>
      </c>
      <c r="K722" t="s">
        <v>76</v>
      </c>
      <c r="L722" t="s">
        <v>1518</v>
      </c>
      <c r="N722">
        <v>1</v>
      </c>
      <c r="O722" s="1">
        <v>46126.408356481479</v>
      </c>
      <c r="Q722" t="s">
        <v>69</v>
      </c>
      <c r="R722" t="s">
        <v>77</v>
      </c>
    </row>
    <row r="723" spans="1:18" ht="15" customHeight="1">
      <c r="A723" t="s">
        <v>1664</v>
      </c>
      <c r="B723" s="1">
        <v>46126.4221412037</v>
      </c>
      <c r="C723" t="s">
        <v>165</v>
      </c>
      <c r="D723" t="s">
        <v>9</v>
      </c>
      <c r="H723" s="2" t="s">
        <v>1665</v>
      </c>
      <c r="I723" t="s">
        <v>567</v>
      </c>
      <c r="J723" t="s">
        <v>75</v>
      </c>
      <c r="K723" t="s">
        <v>81</v>
      </c>
      <c r="L723" t="s">
        <v>567</v>
      </c>
      <c r="N723">
        <v>0</v>
      </c>
      <c r="P723" t="s">
        <v>82</v>
      </c>
      <c r="R723" t="s">
        <v>77</v>
      </c>
    </row>
    <row r="724" spans="1:18" ht="15" customHeight="1">
      <c r="A724" t="s">
        <v>1666</v>
      </c>
      <c r="B724" s="1">
        <v>46126.436574074076</v>
      </c>
      <c r="C724" t="s">
        <v>61</v>
      </c>
      <c r="D724" t="s">
        <v>9</v>
      </c>
      <c r="H724" s="2" t="s">
        <v>1667</v>
      </c>
      <c r="I724" t="s">
        <v>895</v>
      </c>
      <c r="J724" t="s">
        <v>75</v>
      </c>
      <c r="K724" t="s">
        <v>76</v>
      </c>
      <c r="L724" t="s">
        <v>895</v>
      </c>
      <c r="N724">
        <v>0</v>
      </c>
      <c r="O724" s="1">
        <v>46126.60560185185</v>
      </c>
      <c r="P724" t="s">
        <v>82</v>
      </c>
      <c r="Q724" t="s">
        <v>69</v>
      </c>
      <c r="R724" t="s">
        <v>354</v>
      </c>
    </row>
    <row r="725" spans="1:18" ht="15" customHeight="1">
      <c r="A725" t="s">
        <v>1668</v>
      </c>
      <c r="B725" s="1">
        <v>46126.455601851849</v>
      </c>
      <c r="C725" t="s">
        <v>61</v>
      </c>
      <c r="D725" t="s">
        <v>9</v>
      </c>
      <c r="H725" t="s">
        <v>1669</v>
      </c>
      <c r="I725" t="s">
        <v>121</v>
      </c>
      <c r="J725" t="s">
        <v>75</v>
      </c>
      <c r="K725" t="s">
        <v>76</v>
      </c>
      <c r="L725" t="s">
        <v>121</v>
      </c>
      <c r="N725">
        <v>1</v>
      </c>
      <c r="O725" s="1">
        <v>46126.463287037041</v>
      </c>
      <c r="Q725" t="s">
        <v>69</v>
      </c>
      <c r="R725" t="s">
        <v>780</v>
      </c>
    </row>
    <row r="726" spans="1:18" ht="15" customHeight="1">
      <c r="A726" t="s">
        <v>1670</v>
      </c>
      <c r="B726" s="1">
        <v>46126.480798611112</v>
      </c>
      <c r="C726" t="s">
        <v>61</v>
      </c>
      <c r="D726" t="s">
        <v>9</v>
      </c>
      <c r="H726" s="2" t="s">
        <v>1671</v>
      </c>
      <c r="I726" t="s">
        <v>1672</v>
      </c>
      <c r="J726" t="s">
        <v>66</v>
      </c>
      <c r="K726" t="s">
        <v>76</v>
      </c>
      <c r="L726" t="s">
        <v>1672</v>
      </c>
      <c r="N726">
        <v>0</v>
      </c>
      <c r="O726" s="1">
        <v>46126.611597222225</v>
      </c>
      <c r="P726" t="s">
        <v>82</v>
      </c>
      <c r="Q726" t="s">
        <v>69</v>
      </c>
      <c r="R726" t="s">
        <v>77</v>
      </c>
    </row>
    <row r="727" spans="1:18" ht="15" customHeight="1">
      <c r="A727" t="s">
        <v>1673</v>
      </c>
      <c r="B727" s="1">
        <v>46126.504756944443</v>
      </c>
      <c r="C727" t="s">
        <v>425</v>
      </c>
      <c r="D727" t="s">
        <v>9</v>
      </c>
      <c r="H727" s="2" t="s">
        <v>1674</v>
      </c>
      <c r="I727" t="s">
        <v>167</v>
      </c>
      <c r="J727" t="s">
        <v>75</v>
      </c>
      <c r="K727" t="s">
        <v>76</v>
      </c>
      <c r="L727" t="s">
        <v>167</v>
      </c>
      <c r="N727">
        <v>0</v>
      </c>
      <c r="O727" s="1">
        <v>46129.318368055552</v>
      </c>
      <c r="P727" t="s">
        <v>97</v>
      </c>
      <c r="Q727" t="s">
        <v>98</v>
      </c>
      <c r="R727" t="s">
        <v>167</v>
      </c>
    </row>
    <row r="728" spans="1:18" ht="15" customHeight="1">
      <c r="A728" t="s">
        <v>1675</v>
      </c>
      <c r="B728" s="1">
        <v>46126.641481481478</v>
      </c>
      <c r="C728" t="s">
        <v>61</v>
      </c>
      <c r="D728" t="s">
        <v>9</v>
      </c>
      <c r="H728" t="s">
        <v>1676</v>
      </c>
      <c r="I728" t="s">
        <v>435</v>
      </c>
      <c r="J728" t="s">
        <v>75</v>
      </c>
      <c r="K728" t="s">
        <v>76</v>
      </c>
      <c r="L728" t="s">
        <v>435</v>
      </c>
      <c r="N728">
        <v>1</v>
      </c>
      <c r="O728" s="1">
        <v>46126.645069444443</v>
      </c>
      <c r="Q728" t="s">
        <v>69</v>
      </c>
      <c r="R728" t="s">
        <v>780</v>
      </c>
    </row>
    <row r="729" spans="1:18" ht="15" customHeight="1">
      <c r="A729" t="s">
        <v>1677</v>
      </c>
      <c r="B729" s="1">
        <v>46126.643287037034</v>
      </c>
      <c r="C729" t="s">
        <v>61</v>
      </c>
      <c r="D729" t="s">
        <v>9</v>
      </c>
      <c r="H729" s="2" t="s">
        <v>1678</v>
      </c>
      <c r="I729" t="s">
        <v>1679</v>
      </c>
      <c r="J729" t="s">
        <v>75</v>
      </c>
      <c r="K729" t="s">
        <v>76</v>
      </c>
      <c r="L729" t="s">
        <v>1679</v>
      </c>
      <c r="N729">
        <v>1</v>
      </c>
      <c r="O729" s="1">
        <v>46126.645127314812</v>
      </c>
      <c r="Q729" t="s">
        <v>147</v>
      </c>
      <c r="R729" t="s">
        <v>589</v>
      </c>
    </row>
    <row r="730" spans="1:18" ht="15" customHeight="1">
      <c r="A730" t="s">
        <v>1680</v>
      </c>
      <c r="B730" s="1">
        <v>46126.647800925923</v>
      </c>
      <c r="C730" t="s">
        <v>61</v>
      </c>
      <c r="D730" t="s">
        <v>9</v>
      </c>
      <c r="H730" s="2" t="s">
        <v>1681</v>
      </c>
      <c r="I730" t="s">
        <v>386</v>
      </c>
      <c r="J730" t="s">
        <v>75</v>
      </c>
      <c r="K730" t="s">
        <v>81</v>
      </c>
      <c r="L730" t="s">
        <v>386</v>
      </c>
      <c r="N730">
        <v>0</v>
      </c>
      <c r="O730" s="1">
        <v>46127.663425925923</v>
      </c>
      <c r="P730" t="s">
        <v>82</v>
      </c>
      <c r="Q730" t="s">
        <v>69</v>
      </c>
      <c r="R730" t="s">
        <v>77</v>
      </c>
    </row>
    <row r="731" spans="1:18" ht="15" customHeight="1">
      <c r="A731" t="s">
        <v>1682</v>
      </c>
      <c r="B731" s="1">
        <v>46126.684965277775</v>
      </c>
      <c r="C731" t="s">
        <v>61</v>
      </c>
      <c r="D731" t="s">
        <v>9</v>
      </c>
      <c r="H731" s="2" t="s">
        <v>1683</v>
      </c>
      <c r="I731" t="s">
        <v>917</v>
      </c>
      <c r="J731" t="s">
        <v>75</v>
      </c>
      <c r="K731" t="s">
        <v>81</v>
      </c>
      <c r="L731" t="s">
        <v>917</v>
      </c>
      <c r="N731">
        <v>0</v>
      </c>
      <c r="O731" s="1">
        <v>46134.31490740741</v>
      </c>
      <c r="P731" t="s">
        <v>97</v>
      </c>
      <c r="Q731" t="s">
        <v>69</v>
      </c>
      <c r="R731" t="s">
        <v>589</v>
      </c>
    </row>
    <row r="732" spans="1:18" ht="15" customHeight="1">
      <c r="A732" t="s">
        <v>1684</v>
      </c>
      <c r="B732" s="1">
        <v>46126.703587962962</v>
      </c>
      <c r="C732" t="s">
        <v>294</v>
      </c>
      <c r="D732" t="s">
        <v>9</v>
      </c>
      <c r="H732" s="2" t="s">
        <v>1685</v>
      </c>
      <c r="I732" t="s">
        <v>118</v>
      </c>
      <c r="J732" t="s">
        <v>96</v>
      </c>
      <c r="K732" t="s">
        <v>76</v>
      </c>
      <c r="L732" t="s">
        <v>118</v>
      </c>
      <c r="N732">
        <v>0</v>
      </c>
      <c r="P732" t="s">
        <v>97</v>
      </c>
      <c r="Q732" t="s">
        <v>117</v>
      </c>
      <c r="R732" t="s">
        <v>118</v>
      </c>
    </row>
    <row r="733" spans="1:18" ht="15" customHeight="1">
      <c r="A733" t="s">
        <v>1686</v>
      </c>
      <c r="B733" s="1">
        <v>46126.784826388888</v>
      </c>
      <c r="C733" t="s">
        <v>61</v>
      </c>
      <c r="D733" t="s">
        <v>9</v>
      </c>
      <c r="H733" s="2" t="s">
        <v>1687</v>
      </c>
      <c r="I733" t="s">
        <v>1165</v>
      </c>
      <c r="J733" t="s">
        <v>75</v>
      </c>
      <c r="K733" t="s">
        <v>81</v>
      </c>
      <c r="L733" t="s">
        <v>1165</v>
      </c>
      <c r="N733">
        <v>0</v>
      </c>
      <c r="O733" s="1">
        <v>46127.667094907411</v>
      </c>
      <c r="P733" t="s">
        <v>82</v>
      </c>
      <c r="Q733" t="s">
        <v>117</v>
      </c>
      <c r="R733" t="s">
        <v>125</v>
      </c>
    </row>
    <row r="734" spans="1:18" ht="15" customHeight="1">
      <c r="A734" t="s">
        <v>1688</v>
      </c>
      <c r="B734" s="1">
        <v>46126.789664351854</v>
      </c>
      <c r="C734" t="s">
        <v>184</v>
      </c>
      <c r="D734" t="s">
        <v>9</v>
      </c>
      <c r="H734" s="2" t="s">
        <v>1689</v>
      </c>
      <c r="I734" t="s">
        <v>991</v>
      </c>
      <c r="J734" t="s">
        <v>75</v>
      </c>
      <c r="K734" t="s">
        <v>81</v>
      </c>
      <c r="L734" t="s">
        <v>991</v>
      </c>
      <c r="N734">
        <v>0</v>
      </c>
      <c r="P734" t="s">
        <v>97</v>
      </c>
      <c r="R734" t="s">
        <v>125</v>
      </c>
    </row>
    <row r="735" spans="1:18" ht="15" customHeight="1">
      <c r="A735" t="s">
        <v>1690</v>
      </c>
      <c r="B735" s="1">
        <v>46126.813518518517</v>
      </c>
      <c r="C735" t="s">
        <v>61</v>
      </c>
      <c r="D735" t="s">
        <v>9</v>
      </c>
      <c r="H735" s="2" t="s">
        <v>1691</v>
      </c>
      <c r="I735" t="s">
        <v>1692</v>
      </c>
      <c r="J735" t="s">
        <v>75</v>
      </c>
      <c r="K735" t="s">
        <v>81</v>
      </c>
      <c r="L735" t="s">
        <v>1692</v>
      </c>
      <c r="N735">
        <v>0</v>
      </c>
      <c r="O735" s="1">
        <v>46128.372858796298</v>
      </c>
      <c r="P735" t="s">
        <v>82</v>
      </c>
      <c r="Q735" t="s">
        <v>69</v>
      </c>
      <c r="R735" t="s">
        <v>125</v>
      </c>
    </row>
    <row r="736" spans="1:18" ht="15" customHeight="1">
      <c r="A736" t="s">
        <v>1693</v>
      </c>
      <c r="B736" s="1">
        <v>46126.821469907409</v>
      </c>
      <c r="C736" t="s">
        <v>61</v>
      </c>
      <c r="D736" t="s">
        <v>9</v>
      </c>
      <c r="H736" s="2" t="s">
        <v>1694</v>
      </c>
      <c r="I736" t="s">
        <v>1692</v>
      </c>
      <c r="J736" t="s">
        <v>75</v>
      </c>
      <c r="K736" t="s">
        <v>81</v>
      </c>
      <c r="L736" t="s">
        <v>1692</v>
      </c>
      <c r="N736">
        <v>0</v>
      </c>
      <c r="O736" s="1">
        <v>46128.372407407405</v>
      </c>
      <c r="P736" t="s">
        <v>82</v>
      </c>
      <c r="Q736" t="s">
        <v>69</v>
      </c>
      <c r="R736" t="s">
        <v>125</v>
      </c>
    </row>
    <row r="737" spans="1:18" ht="15" customHeight="1">
      <c r="A737" t="s">
        <v>1695</v>
      </c>
      <c r="B737" s="1">
        <v>46127.274444444447</v>
      </c>
      <c r="C737" t="s">
        <v>61</v>
      </c>
      <c r="D737" t="s">
        <v>62</v>
      </c>
      <c r="H737" s="2" t="s">
        <v>1696</v>
      </c>
      <c r="I737" t="s">
        <v>478</v>
      </c>
      <c r="J737" t="s">
        <v>66</v>
      </c>
      <c r="K737" t="s">
        <v>67</v>
      </c>
      <c r="L737" t="s">
        <v>478</v>
      </c>
      <c r="N737">
        <v>0</v>
      </c>
      <c r="O737" s="1">
        <v>46129.634143518517</v>
      </c>
      <c r="P737" t="s">
        <v>97</v>
      </c>
      <c r="Q737" t="s">
        <v>69</v>
      </c>
      <c r="R737" t="s">
        <v>478</v>
      </c>
    </row>
    <row r="738" spans="1:18" ht="15" customHeight="1">
      <c r="A738" t="s">
        <v>1697</v>
      </c>
      <c r="B738" s="1">
        <v>46127.393946759257</v>
      </c>
      <c r="C738" t="s">
        <v>61</v>
      </c>
      <c r="D738" t="s">
        <v>9</v>
      </c>
      <c r="H738" t="s">
        <v>1698</v>
      </c>
      <c r="I738" t="s">
        <v>131</v>
      </c>
      <c r="J738" t="s">
        <v>75</v>
      </c>
      <c r="K738" t="s">
        <v>76</v>
      </c>
      <c r="L738" t="s">
        <v>131</v>
      </c>
      <c r="N738">
        <v>0</v>
      </c>
      <c r="O738" s="1">
        <v>46128.377581018518</v>
      </c>
      <c r="P738" t="s">
        <v>82</v>
      </c>
      <c r="Q738" t="s">
        <v>69</v>
      </c>
      <c r="R738" t="s">
        <v>780</v>
      </c>
    </row>
    <row r="739" spans="1:18" ht="15" customHeight="1">
      <c r="A739" t="s">
        <v>1699</v>
      </c>
      <c r="B739" s="1">
        <v>46127.432453703703</v>
      </c>
      <c r="C739" t="s">
        <v>61</v>
      </c>
      <c r="D739" t="s">
        <v>9</v>
      </c>
      <c r="H739" s="2" t="s">
        <v>1700</v>
      </c>
      <c r="I739" t="s">
        <v>210</v>
      </c>
      <c r="J739" t="s">
        <v>75</v>
      </c>
      <c r="K739" t="s">
        <v>76</v>
      </c>
      <c r="L739" t="s">
        <v>210</v>
      </c>
      <c r="N739">
        <v>0</v>
      </c>
      <c r="O739" s="1">
        <v>46134.313275462962</v>
      </c>
      <c r="P739" t="s">
        <v>97</v>
      </c>
      <c r="Q739" t="s">
        <v>211</v>
      </c>
      <c r="R739" t="s">
        <v>210</v>
      </c>
    </row>
    <row r="740" spans="1:18" ht="15" customHeight="1">
      <c r="A740" t="s">
        <v>1701</v>
      </c>
      <c r="B740" s="1">
        <v>46127.482418981483</v>
      </c>
      <c r="C740" t="s">
        <v>61</v>
      </c>
      <c r="D740" t="s">
        <v>9</v>
      </c>
      <c r="H740" t="s">
        <v>1702</v>
      </c>
      <c r="I740" t="s">
        <v>1703</v>
      </c>
      <c r="J740" t="s">
        <v>75</v>
      </c>
      <c r="K740" t="s">
        <v>76</v>
      </c>
      <c r="L740" t="s">
        <v>1704</v>
      </c>
      <c r="N740">
        <v>0</v>
      </c>
      <c r="O740" s="1">
        <v>46128.559918981482</v>
      </c>
      <c r="P740" t="s">
        <v>91</v>
      </c>
      <c r="Q740" t="s">
        <v>263</v>
      </c>
      <c r="R740" t="s">
        <v>83</v>
      </c>
    </row>
    <row r="741" spans="1:18" ht="15" customHeight="1">
      <c r="A741" t="s">
        <v>1705</v>
      </c>
      <c r="B741" s="1">
        <v>46127.514004629629</v>
      </c>
      <c r="C741" t="s">
        <v>61</v>
      </c>
      <c r="D741" t="s">
        <v>9</v>
      </c>
      <c r="H741" t="s">
        <v>171</v>
      </c>
      <c r="I741" t="s">
        <v>121</v>
      </c>
      <c r="J741" t="s">
        <v>75</v>
      </c>
      <c r="K741" t="s">
        <v>76</v>
      </c>
      <c r="L741" t="s">
        <v>121</v>
      </c>
      <c r="N741">
        <v>1</v>
      </c>
      <c r="O741" s="1">
        <v>46127.528356481482</v>
      </c>
      <c r="Q741" t="s">
        <v>176</v>
      </c>
      <c r="R741" t="s">
        <v>83</v>
      </c>
    </row>
    <row r="742" spans="1:18" ht="15" customHeight="1">
      <c r="A742" t="s">
        <v>1706</v>
      </c>
      <c r="B742" s="1">
        <v>46127.538865740738</v>
      </c>
      <c r="C742" t="s">
        <v>61</v>
      </c>
      <c r="D742" t="s">
        <v>327</v>
      </c>
      <c r="H742" s="2" t="s">
        <v>1707</v>
      </c>
      <c r="I742" t="s">
        <v>478</v>
      </c>
      <c r="J742" t="s">
        <v>66</v>
      </c>
      <c r="K742" t="s">
        <v>67</v>
      </c>
      <c r="L742" t="s">
        <v>478</v>
      </c>
      <c r="N742">
        <v>0</v>
      </c>
      <c r="O742" s="1">
        <v>46129.322581018518</v>
      </c>
      <c r="P742" t="s">
        <v>330</v>
      </c>
      <c r="Q742" t="s">
        <v>331</v>
      </c>
      <c r="R742" t="s">
        <v>478</v>
      </c>
    </row>
    <row r="743" spans="1:18" ht="15" customHeight="1">
      <c r="A743" t="s">
        <v>1708</v>
      </c>
      <c r="B743" s="1">
        <v>46127.576504629629</v>
      </c>
      <c r="C743" t="s">
        <v>61</v>
      </c>
      <c r="D743" t="s">
        <v>9</v>
      </c>
      <c r="H743" t="s">
        <v>1709</v>
      </c>
      <c r="I743" t="s">
        <v>154</v>
      </c>
      <c r="J743" t="s">
        <v>75</v>
      </c>
      <c r="K743" t="s">
        <v>76</v>
      </c>
      <c r="L743" t="s">
        <v>154</v>
      </c>
      <c r="N743">
        <v>1</v>
      </c>
      <c r="O743" s="1">
        <v>46127.579502314817</v>
      </c>
      <c r="Q743" t="s">
        <v>176</v>
      </c>
      <c r="R743" t="s">
        <v>83</v>
      </c>
    </row>
    <row r="744" spans="1:18" ht="15" customHeight="1">
      <c r="A744" t="s">
        <v>1710</v>
      </c>
      <c r="B744" s="1">
        <v>46127.605509259258</v>
      </c>
      <c r="C744" t="s">
        <v>61</v>
      </c>
      <c r="D744" t="s">
        <v>9</v>
      </c>
      <c r="H744" s="2" t="s">
        <v>1711</v>
      </c>
      <c r="I744" t="s">
        <v>708</v>
      </c>
      <c r="J744" t="s">
        <v>75</v>
      </c>
      <c r="K744" t="s">
        <v>81</v>
      </c>
      <c r="L744" t="s">
        <v>708</v>
      </c>
      <c r="N744">
        <v>0</v>
      </c>
      <c r="O744" s="1">
        <v>46127.720324074071</v>
      </c>
      <c r="P744" t="s">
        <v>82</v>
      </c>
      <c r="Q744" t="s">
        <v>69</v>
      </c>
      <c r="R744" t="s">
        <v>92</v>
      </c>
    </row>
    <row r="745" spans="1:18" ht="15" customHeight="1">
      <c r="A745" t="s">
        <v>1712</v>
      </c>
      <c r="B745" s="1">
        <v>46127.815995370373</v>
      </c>
      <c r="C745" t="s">
        <v>61</v>
      </c>
      <c r="D745" t="s">
        <v>9</v>
      </c>
      <c r="H745" t="s">
        <v>1713</v>
      </c>
      <c r="I745" t="s">
        <v>708</v>
      </c>
      <c r="J745" t="s">
        <v>75</v>
      </c>
      <c r="K745" t="s">
        <v>81</v>
      </c>
      <c r="L745" t="s">
        <v>708</v>
      </c>
      <c r="N745">
        <v>0</v>
      </c>
      <c r="O745" s="1">
        <v>46128.449155092596</v>
      </c>
      <c r="P745" t="s">
        <v>82</v>
      </c>
      <c r="Q745" t="s">
        <v>69</v>
      </c>
      <c r="R745" t="s">
        <v>92</v>
      </c>
    </row>
    <row r="746" spans="1:18" ht="15" customHeight="1">
      <c r="A746" t="s">
        <v>1714</v>
      </c>
      <c r="B746" s="1">
        <v>46128.440393518518</v>
      </c>
      <c r="C746" t="s">
        <v>184</v>
      </c>
      <c r="D746" t="s">
        <v>9</v>
      </c>
      <c r="H746" s="2" t="s">
        <v>1715</v>
      </c>
      <c r="I746" t="s">
        <v>118</v>
      </c>
      <c r="J746" t="s">
        <v>75</v>
      </c>
      <c r="K746" t="s">
        <v>76</v>
      </c>
      <c r="L746" t="s">
        <v>118</v>
      </c>
      <c r="N746">
        <v>0</v>
      </c>
      <c r="P746" t="s">
        <v>97</v>
      </c>
      <c r="R746" t="s">
        <v>118</v>
      </c>
    </row>
    <row r="747" spans="1:18" ht="15" customHeight="1">
      <c r="A747" t="s">
        <v>1716</v>
      </c>
      <c r="B747" s="1">
        <v>46128.475266203706</v>
      </c>
      <c r="C747" t="s">
        <v>61</v>
      </c>
      <c r="D747" t="s">
        <v>9</v>
      </c>
      <c r="H747" s="2" t="s">
        <v>1717</v>
      </c>
      <c r="I747" t="s">
        <v>586</v>
      </c>
      <c r="J747" t="s">
        <v>75</v>
      </c>
      <c r="K747" t="s">
        <v>81</v>
      </c>
      <c r="L747" t="s">
        <v>586</v>
      </c>
      <c r="N747">
        <v>0</v>
      </c>
      <c r="O747" s="1">
        <v>46128.701111111113</v>
      </c>
      <c r="P747" t="s">
        <v>82</v>
      </c>
      <c r="Q747" t="s">
        <v>69</v>
      </c>
      <c r="R747" t="s">
        <v>77</v>
      </c>
    </row>
    <row r="748" spans="1:18" ht="15" customHeight="1">
      <c r="A748" t="s">
        <v>1718</v>
      </c>
      <c r="B748" s="1">
        <v>46128.527581018519</v>
      </c>
      <c r="C748" t="s">
        <v>453</v>
      </c>
      <c r="D748" t="s">
        <v>9</v>
      </c>
      <c r="H748" s="2" t="s">
        <v>1719</v>
      </c>
      <c r="I748" t="s">
        <v>214</v>
      </c>
      <c r="J748" t="s">
        <v>75</v>
      </c>
      <c r="K748" t="s">
        <v>81</v>
      </c>
      <c r="L748" t="s">
        <v>214</v>
      </c>
      <c r="N748">
        <v>0</v>
      </c>
      <c r="P748" t="s">
        <v>97</v>
      </c>
      <c r="Q748" t="s">
        <v>211</v>
      </c>
      <c r="R748" t="s">
        <v>77</v>
      </c>
    </row>
    <row r="749" spans="1:18" ht="15" customHeight="1">
      <c r="A749" t="s">
        <v>1720</v>
      </c>
      <c r="B749" s="1">
        <v>46128.536874999998</v>
      </c>
      <c r="C749" t="s">
        <v>61</v>
      </c>
      <c r="D749" t="s">
        <v>9</v>
      </c>
      <c r="H749" s="2" t="s">
        <v>1721</v>
      </c>
      <c r="I749" t="s">
        <v>202</v>
      </c>
      <c r="J749" t="s">
        <v>75</v>
      </c>
      <c r="K749" t="s">
        <v>81</v>
      </c>
      <c r="L749" t="s">
        <v>202</v>
      </c>
      <c r="N749">
        <v>0</v>
      </c>
      <c r="O749" s="1">
        <v>46129.657604166663</v>
      </c>
      <c r="P749" t="s">
        <v>82</v>
      </c>
      <c r="Q749" t="s">
        <v>69</v>
      </c>
      <c r="R749" t="s">
        <v>77</v>
      </c>
    </row>
    <row r="750" spans="1:18" ht="15" customHeight="1">
      <c r="A750" t="s">
        <v>1722</v>
      </c>
      <c r="B750" s="1">
        <v>46128.649641203701</v>
      </c>
      <c r="C750" t="s">
        <v>61</v>
      </c>
      <c r="D750" t="s">
        <v>9</v>
      </c>
      <c r="H750" s="2" t="s">
        <v>1723</v>
      </c>
      <c r="I750" t="s">
        <v>131</v>
      </c>
      <c r="J750" t="s">
        <v>75</v>
      </c>
      <c r="K750" t="s">
        <v>81</v>
      </c>
      <c r="L750" t="s">
        <v>131</v>
      </c>
      <c r="N750">
        <v>0</v>
      </c>
      <c r="O750" s="1">
        <v>46129.492280092592</v>
      </c>
      <c r="P750" t="s">
        <v>82</v>
      </c>
      <c r="Q750" t="s">
        <v>69</v>
      </c>
      <c r="R750" t="s">
        <v>77</v>
      </c>
    </row>
    <row r="751" spans="1:18" ht="15" customHeight="1">
      <c r="A751" t="s">
        <v>1724</v>
      </c>
      <c r="B751" s="1">
        <v>46128.663541666669</v>
      </c>
      <c r="C751" t="s">
        <v>61</v>
      </c>
      <c r="D751" t="s">
        <v>9</v>
      </c>
      <c r="H751" t="s">
        <v>171</v>
      </c>
      <c r="I751" t="s">
        <v>494</v>
      </c>
      <c r="J751" t="s">
        <v>75</v>
      </c>
      <c r="K751" t="s">
        <v>76</v>
      </c>
      <c r="L751" t="s">
        <v>494</v>
      </c>
      <c r="N751">
        <v>1</v>
      </c>
      <c r="O751" s="1">
        <v>46128.664444444446</v>
      </c>
      <c r="Q751" t="s">
        <v>69</v>
      </c>
      <c r="R751" t="s">
        <v>77</v>
      </c>
    </row>
    <row r="752" spans="1:18" ht="15" customHeight="1">
      <c r="A752" t="s">
        <v>1725</v>
      </c>
      <c r="B752" s="1">
        <v>46128.698263888888</v>
      </c>
      <c r="C752" t="s">
        <v>294</v>
      </c>
      <c r="D752" t="s">
        <v>9</v>
      </c>
      <c r="H752" s="2" t="s">
        <v>1726</v>
      </c>
      <c r="I752" t="s">
        <v>1165</v>
      </c>
      <c r="J752" t="s">
        <v>75</v>
      </c>
      <c r="K752" t="s">
        <v>76</v>
      </c>
      <c r="L752" t="s">
        <v>1165</v>
      </c>
      <c r="N752">
        <v>0</v>
      </c>
      <c r="P752" t="s">
        <v>97</v>
      </c>
      <c r="Q752" t="s">
        <v>211</v>
      </c>
      <c r="R752" t="s">
        <v>589</v>
      </c>
    </row>
    <row r="753" spans="1:18" ht="15" customHeight="1">
      <c r="A753" t="s">
        <v>1727</v>
      </c>
      <c r="B753" s="1">
        <v>46128.704421296294</v>
      </c>
      <c r="C753" t="s">
        <v>425</v>
      </c>
      <c r="D753" t="s">
        <v>9</v>
      </c>
      <c r="H753" s="2" t="s">
        <v>1728</v>
      </c>
      <c r="I753" t="s">
        <v>202</v>
      </c>
      <c r="J753" t="s">
        <v>75</v>
      </c>
      <c r="K753" t="s">
        <v>81</v>
      </c>
      <c r="L753" t="s">
        <v>202</v>
      </c>
      <c r="N753">
        <v>0</v>
      </c>
      <c r="O753" s="1">
        <v>46134.312789351854</v>
      </c>
      <c r="P753" t="s">
        <v>97</v>
      </c>
      <c r="Q753" t="s">
        <v>211</v>
      </c>
      <c r="R753" t="s">
        <v>77</v>
      </c>
    </row>
    <row r="754" spans="1:18" ht="15" customHeight="1">
      <c r="A754" t="s">
        <v>1729</v>
      </c>
      <c r="B754" s="1">
        <v>46129.272638888891</v>
      </c>
      <c r="C754" t="s">
        <v>61</v>
      </c>
      <c r="D754" t="s">
        <v>62</v>
      </c>
      <c r="H754" s="2" t="s">
        <v>1730</v>
      </c>
      <c r="I754" t="s">
        <v>478</v>
      </c>
      <c r="J754" t="s">
        <v>66</v>
      </c>
      <c r="K754" t="s">
        <v>67</v>
      </c>
      <c r="L754" t="s">
        <v>478</v>
      </c>
      <c r="N754">
        <v>0</v>
      </c>
      <c r="O754" s="1">
        <v>46129.608807870369</v>
      </c>
      <c r="P754" t="s">
        <v>97</v>
      </c>
      <c r="Q754" t="s">
        <v>69</v>
      </c>
      <c r="R754" t="s">
        <v>478</v>
      </c>
    </row>
    <row r="755" spans="1:18" ht="15" customHeight="1">
      <c r="A755" t="s">
        <v>1731</v>
      </c>
      <c r="B755" s="1">
        <v>46129.273715277777</v>
      </c>
      <c r="C755" t="s">
        <v>61</v>
      </c>
      <c r="D755" t="s">
        <v>62</v>
      </c>
      <c r="H755" s="2" t="s">
        <v>1732</v>
      </c>
      <c r="I755" t="s">
        <v>478</v>
      </c>
      <c r="J755" t="s">
        <v>66</v>
      </c>
      <c r="K755" t="s">
        <v>67</v>
      </c>
      <c r="L755" t="s">
        <v>478</v>
      </c>
      <c r="N755">
        <v>0</v>
      </c>
      <c r="O755" s="1">
        <v>46129.426932870374</v>
      </c>
      <c r="P755" t="s">
        <v>97</v>
      </c>
      <c r="Q755" t="s">
        <v>69</v>
      </c>
      <c r="R755" t="s">
        <v>478</v>
      </c>
    </row>
    <row r="756" spans="1:18" ht="15" customHeight="1">
      <c r="A756" t="s">
        <v>1733</v>
      </c>
      <c r="B756" s="1">
        <v>46129.463912037034</v>
      </c>
      <c r="C756" t="s">
        <v>294</v>
      </c>
      <c r="D756" t="s">
        <v>9</v>
      </c>
      <c r="H756" s="2" t="s">
        <v>1734</v>
      </c>
      <c r="I756" t="s">
        <v>432</v>
      </c>
      <c r="J756" t="s">
        <v>75</v>
      </c>
      <c r="K756" t="s">
        <v>81</v>
      </c>
      <c r="L756" t="s">
        <v>432</v>
      </c>
      <c r="N756">
        <v>0</v>
      </c>
      <c r="P756" t="s">
        <v>97</v>
      </c>
      <c r="Q756" t="s">
        <v>211</v>
      </c>
      <c r="R756" t="s">
        <v>77</v>
      </c>
    </row>
    <row r="757" spans="1:18" ht="15" customHeight="1">
      <c r="A757" t="s">
        <v>1735</v>
      </c>
      <c r="B757" s="1">
        <v>46129.46534722222</v>
      </c>
      <c r="C757" t="s">
        <v>61</v>
      </c>
      <c r="D757" t="s">
        <v>9</v>
      </c>
      <c r="H757" s="2" t="s">
        <v>1736</v>
      </c>
      <c r="I757" t="s">
        <v>128</v>
      </c>
      <c r="J757" t="s">
        <v>75</v>
      </c>
      <c r="K757" t="s">
        <v>81</v>
      </c>
      <c r="L757" t="s">
        <v>128</v>
      </c>
      <c r="N757">
        <v>0</v>
      </c>
      <c r="O757" s="1">
        <v>46129.522303240738</v>
      </c>
      <c r="P757" t="s">
        <v>784</v>
      </c>
      <c r="Q757" t="s">
        <v>69</v>
      </c>
      <c r="R757" t="s">
        <v>77</v>
      </c>
    </row>
    <row r="758" spans="1:18" ht="15" customHeight="1">
      <c r="A758" t="s">
        <v>1737</v>
      </c>
      <c r="B758" s="1">
        <v>46129.525821759256</v>
      </c>
      <c r="C758" t="s">
        <v>184</v>
      </c>
      <c r="D758" t="s">
        <v>9</v>
      </c>
      <c r="H758" s="2" t="s">
        <v>1738</v>
      </c>
      <c r="I758" t="s">
        <v>131</v>
      </c>
      <c r="J758" t="s">
        <v>75</v>
      </c>
      <c r="K758" t="s">
        <v>81</v>
      </c>
      <c r="L758" t="s">
        <v>131</v>
      </c>
      <c r="N758">
        <v>0</v>
      </c>
      <c r="P758" t="s">
        <v>97</v>
      </c>
      <c r="R758" t="s">
        <v>77</v>
      </c>
    </row>
    <row r="759" spans="1:18" ht="15" customHeight="1">
      <c r="A759" t="s">
        <v>1739</v>
      </c>
      <c r="B759" s="1">
        <v>46129.52685185185</v>
      </c>
      <c r="C759" t="s">
        <v>165</v>
      </c>
      <c r="D759" t="s">
        <v>9</v>
      </c>
      <c r="H759" s="2" t="s">
        <v>1740</v>
      </c>
      <c r="I759" t="s">
        <v>824</v>
      </c>
      <c r="J759" t="s">
        <v>75</v>
      </c>
      <c r="K759" t="s">
        <v>81</v>
      </c>
      <c r="L759" t="s">
        <v>824</v>
      </c>
      <c r="N759">
        <v>0</v>
      </c>
      <c r="P759" t="s">
        <v>82</v>
      </c>
      <c r="R759" t="s">
        <v>77</v>
      </c>
    </row>
    <row r="760" spans="1:18" ht="15" customHeight="1">
      <c r="A760" t="s">
        <v>1741</v>
      </c>
      <c r="B760" s="1">
        <v>46129.536053240743</v>
      </c>
      <c r="C760" t="s">
        <v>184</v>
      </c>
      <c r="D760" t="s">
        <v>9</v>
      </c>
      <c r="H760" s="2" t="s">
        <v>1742</v>
      </c>
      <c r="I760" t="s">
        <v>991</v>
      </c>
      <c r="J760" t="s">
        <v>75</v>
      </c>
      <c r="K760" t="s">
        <v>81</v>
      </c>
      <c r="L760" t="s">
        <v>991</v>
      </c>
      <c r="N760">
        <v>0</v>
      </c>
      <c r="P760" t="s">
        <v>97</v>
      </c>
      <c r="R760" t="s">
        <v>77</v>
      </c>
    </row>
    <row r="761" spans="1:18" ht="15" customHeight="1">
      <c r="A761" t="s">
        <v>1743</v>
      </c>
      <c r="B761" s="1">
        <v>46129.607858796298</v>
      </c>
      <c r="C761" t="s">
        <v>61</v>
      </c>
      <c r="D761" t="s">
        <v>9</v>
      </c>
      <c r="H761" s="2" t="s">
        <v>1744</v>
      </c>
      <c r="I761" t="s">
        <v>1703</v>
      </c>
      <c r="J761" t="s">
        <v>75</v>
      </c>
      <c r="K761" t="s">
        <v>76</v>
      </c>
      <c r="L761" t="s">
        <v>1703</v>
      </c>
      <c r="N761">
        <v>0</v>
      </c>
      <c r="O761" s="1">
        <v>46134.481319444443</v>
      </c>
      <c r="P761" t="s">
        <v>97</v>
      </c>
      <c r="Q761" t="s">
        <v>263</v>
      </c>
      <c r="R761" t="s">
        <v>354</v>
      </c>
    </row>
    <row r="762" spans="1:18" ht="15" customHeight="1">
      <c r="A762" t="s">
        <v>1745</v>
      </c>
      <c r="B762" s="1">
        <v>46129.628171296295</v>
      </c>
      <c r="C762" t="s">
        <v>61</v>
      </c>
      <c r="D762" t="s">
        <v>9</v>
      </c>
      <c r="H762" s="2" t="s">
        <v>1313</v>
      </c>
      <c r="I762" t="s">
        <v>121</v>
      </c>
      <c r="J762" t="s">
        <v>75</v>
      </c>
      <c r="K762" t="s">
        <v>76</v>
      </c>
      <c r="L762" t="s">
        <v>121</v>
      </c>
      <c r="N762">
        <v>1</v>
      </c>
      <c r="O762" s="1">
        <v>46129.630636574075</v>
      </c>
      <c r="Q762" t="s">
        <v>141</v>
      </c>
      <c r="R762" t="s">
        <v>155</v>
      </c>
    </row>
    <row r="763" spans="1:18" ht="15" customHeight="1">
      <c r="A763" t="s">
        <v>1746</v>
      </c>
      <c r="B763" s="1">
        <v>46129.641932870371</v>
      </c>
      <c r="C763" t="s">
        <v>61</v>
      </c>
      <c r="D763" t="s">
        <v>9</v>
      </c>
      <c r="H763" t="s">
        <v>1747</v>
      </c>
      <c r="I763" t="s">
        <v>1660</v>
      </c>
      <c r="J763" t="s">
        <v>75</v>
      </c>
      <c r="K763" t="s">
        <v>76</v>
      </c>
      <c r="L763" t="s">
        <v>1660</v>
      </c>
      <c r="N763">
        <v>1</v>
      </c>
      <c r="O763" s="1">
        <v>46129.646597222221</v>
      </c>
      <c r="Q763" t="s">
        <v>176</v>
      </c>
      <c r="R763" t="s">
        <v>780</v>
      </c>
    </row>
    <row r="764" spans="1:18" ht="15" customHeight="1">
      <c r="A764" t="s">
        <v>1748</v>
      </c>
      <c r="B764" s="1">
        <v>46129.675347222219</v>
      </c>
      <c r="C764" t="s">
        <v>184</v>
      </c>
      <c r="D764" t="s">
        <v>9</v>
      </c>
      <c r="H764" s="2" t="s">
        <v>1749</v>
      </c>
      <c r="I764" t="s">
        <v>991</v>
      </c>
      <c r="J764" t="s">
        <v>75</v>
      </c>
      <c r="K764" t="s">
        <v>81</v>
      </c>
      <c r="L764" t="s">
        <v>991</v>
      </c>
      <c r="N764">
        <v>0</v>
      </c>
      <c r="P764" t="s">
        <v>97</v>
      </c>
      <c r="R764" t="s">
        <v>155</v>
      </c>
    </row>
    <row r="765" spans="1:18" ht="15" customHeight="1">
      <c r="A765" t="s">
        <v>1750</v>
      </c>
      <c r="B765" s="1">
        <v>46129.710775462961</v>
      </c>
      <c r="C765" t="s">
        <v>294</v>
      </c>
      <c r="D765" t="s">
        <v>9</v>
      </c>
      <c r="H765" s="2" t="s">
        <v>1751</v>
      </c>
      <c r="I765" t="s">
        <v>118</v>
      </c>
      <c r="J765" t="s">
        <v>75</v>
      </c>
      <c r="K765" t="s">
        <v>76</v>
      </c>
      <c r="L765" t="s">
        <v>118</v>
      </c>
      <c r="N765">
        <v>0</v>
      </c>
      <c r="P765" t="s">
        <v>97</v>
      </c>
      <c r="R765" t="s">
        <v>118</v>
      </c>
    </row>
    <row r="766" spans="1:18" ht="15" customHeight="1">
      <c r="A766" t="s">
        <v>1752</v>
      </c>
      <c r="B766" s="1">
        <v>46132.435034722221</v>
      </c>
      <c r="C766" t="s">
        <v>61</v>
      </c>
      <c r="D766" t="s">
        <v>9</v>
      </c>
      <c r="H766" s="2" t="s">
        <v>1753</v>
      </c>
      <c r="I766" t="s">
        <v>113</v>
      </c>
      <c r="J766" t="s">
        <v>75</v>
      </c>
      <c r="K766" t="s">
        <v>81</v>
      </c>
      <c r="L766" t="s">
        <v>113</v>
      </c>
      <c r="N766">
        <v>0</v>
      </c>
      <c r="O766" s="1">
        <v>46132.614351851851</v>
      </c>
      <c r="P766" t="s">
        <v>82</v>
      </c>
      <c r="Q766" t="s">
        <v>69</v>
      </c>
      <c r="R766" t="s">
        <v>155</v>
      </c>
    </row>
    <row r="767" spans="1:18" ht="15" customHeight="1">
      <c r="A767" t="s">
        <v>1754</v>
      </c>
      <c r="B767" s="1">
        <v>46132.454907407409</v>
      </c>
      <c r="C767" t="s">
        <v>61</v>
      </c>
      <c r="D767" t="s">
        <v>9</v>
      </c>
      <c r="H767" s="2" t="s">
        <v>1755</v>
      </c>
      <c r="I767" t="s">
        <v>1027</v>
      </c>
      <c r="J767" t="s">
        <v>75</v>
      </c>
      <c r="K767" t="s">
        <v>76</v>
      </c>
      <c r="L767" t="s">
        <v>1027</v>
      </c>
      <c r="N767">
        <v>0</v>
      </c>
      <c r="O767" s="1">
        <v>46132.531574074077</v>
      </c>
      <c r="P767" t="s">
        <v>82</v>
      </c>
      <c r="Q767" t="s">
        <v>69</v>
      </c>
      <c r="R767" t="s">
        <v>354</v>
      </c>
    </row>
    <row r="768" spans="1:18" ht="15" customHeight="1">
      <c r="A768" t="s">
        <v>1756</v>
      </c>
      <c r="B768" s="1">
        <v>46132.571631944447</v>
      </c>
      <c r="C768" t="s">
        <v>61</v>
      </c>
      <c r="D768" t="s">
        <v>9</v>
      </c>
      <c r="H768" s="2" t="s">
        <v>1757</v>
      </c>
      <c r="I768" t="s">
        <v>154</v>
      </c>
      <c r="J768" t="s">
        <v>75</v>
      </c>
      <c r="K768" t="s">
        <v>81</v>
      </c>
      <c r="L768" t="s">
        <v>154</v>
      </c>
      <c r="N768">
        <v>0</v>
      </c>
      <c r="O768" s="1">
        <v>46132.639386574076</v>
      </c>
      <c r="P768" t="s">
        <v>82</v>
      </c>
      <c r="Q768" t="s">
        <v>69</v>
      </c>
      <c r="R768" t="s">
        <v>155</v>
      </c>
    </row>
    <row r="769" spans="1:18" ht="15" customHeight="1">
      <c r="A769" t="s">
        <v>1758</v>
      </c>
      <c r="B769" s="1">
        <v>46132.700092592589</v>
      </c>
      <c r="C769" t="s">
        <v>61</v>
      </c>
      <c r="D769" t="s">
        <v>9</v>
      </c>
      <c r="H769" s="2" t="s">
        <v>1759</v>
      </c>
      <c r="I769" t="s">
        <v>337</v>
      </c>
      <c r="J769" t="s">
        <v>75</v>
      </c>
      <c r="K769" t="s">
        <v>81</v>
      </c>
      <c r="L769" t="s">
        <v>337</v>
      </c>
      <c r="N769">
        <v>0</v>
      </c>
      <c r="O769" s="1">
        <v>46133.452731481484</v>
      </c>
      <c r="P769" t="s">
        <v>82</v>
      </c>
      <c r="Q769" t="s">
        <v>69</v>
      </c>
      <c r="R769" t="s">
        <v>125</v>
      </c>
    </row>
    <row r="770" spans="1:18" ht="15" customHeight="1">
      <c r="A770" t="s">
        <v>1760</v>
      </c>
      <c r="B770" s="1">
        <v>46132.715567129628</v>
      </c>
      <c r="C770" t="s">
        <v>61</v>
      </c>
      <c r="D770" t="s">
        <v>9</v>
      </c>
      <c r="H770" t="s">
        <v>1761</v>
      </c>
      <c r="I770" t="s">
        <v>708</v>
      </c>
      <c r="J770" t="s">
        <v>75</v>
      </c>
      <c r="K770" t="s">
        <v>81</v>
      </c>
      <c r="L770" t="s">
        <v>708</v>
      </c>
      <c r="N770">
        <v>0</v>
      </c>
      <c r="O770" s="1">
        <v>46133.35460648148</v>
      </c>
      <c r="P770" t="s">
        <v>82</v>
      </c>
      <c r="Q770" t="s">
        <v>69</v>
      </c>
      <c r="R770" t="s">
        <v>83</v>
      </c>
    </row>
    <row r="771" spans="1:18" ht="15" customHeight="1">
      <c r="A771" t="s">
        <v>1762</v>
      </c>
      <c r="B771" s="1">
        <v>46132.740231481483</v>
      </c>
      <c r="C771" t="s">
        <v>61</v>
      </c>
      <c r="D771" t="s">
        <v>9</v>
      </c>
      <c r="H771" t="s">
        <v>1763</v>
      </c>
      <c r="I771" t="s">
        <v>334</v>
      </c>
      <c r="J771" t="s">
        <v>75</v>
      </c>
      <c r="K771" t="s">
        <v>76</v>
      </c>
      <c r="L771" t="s">
        <v>334</v>
      </c>
      <c r="N771">
        <v>0</v>
      </c>
      <c r="O771" s="1">
        <v>46134.314675925925</v>
      </c>
      <c r="P771" t="s">
        <v>97</v>
      </c>
      <c r="Q771" t="s">
        <v>137</v>
      </c>
      <c r="R771" t="s">
        <v>83</v>
      </c>
    </row>
    <row r="772" spans="1:18" ht="15" customHeight="1">
      <c r="A772" t="s">
        <v>1764</v>
      </c>
      <c r="B772" s="1">
        <v>46132.74596064815</v>
      </c>
      <c r="C772" t="s">
        <v>61</v>
      </c>
      <c r="D772" t="s">
        <v>9</v>
      </c>
      <c r="H772" t="s">
        <v>1765</v>
      </c>
      <c r="I772" t="s">
        <v>1703</v>
      </c>
      <c r="J772" t="s">
        <v>75</v>
      </c>
      <c r="K772" t="s">
        <v>81</v>
      </c>
      <c r="L772" t="s">
        <v>1703</v>
      </c>
      <c r="N772">
        <v>0</v>
      </c>
      <c r="O772" s="1">
        <v>46134.480856481481</v>
      </c>
      <c r="P772" t="s">
        <v>97</v>
      </c>
      <c r="Q772" t="s">
        <v>263</v>
      </c>
      <c r="R772" t="s">
        <v>83</v>
      </c>
    </row>
    <row r="773" spans="1:18" ht="15" customHeight="1">
      <c r="A773" t="s">
        <v>1766</v>
      </c>
      <c r="B773" s="1">
        <v>46133.277129629627</v>
      </c>
      <c r="C773" t="s">
        <v>1010</v>
      </c>
      <c r="D773" t="s">
        <v>1218</v>
      </c>
      <c r="H773" t="s">
        <v>1767</v>
      </c>
      <c r="I773" t="s">
        <v>497</v>
      </c>
      <c r="J773" t="s">
        <v>66</v>
      </c>
      <c r="K773" t="s">
        <v>76</v>
      </c>
      <c r="L773" t="s">
        <v>497</v>
      </c>
      <c r="M773" t="s">
        <v>1768</v>
      </c>
      <c r="N773">
        <v>0</v>
      </c>
      <c r="P773" t="s">
        <v>68</v>
      </c>
      <c r="R773" t="s">
        <v>497</v>
      </c>
    </row>
    <row r="774" spans="1:18" ht="15" customHeight="1">
      <c r="A774" t="s">
        <v>1769</v>
      </c>
      <c r="B774" s="1">
        <v>46133.281041666669</v>
      </c>
      <c r="C774" t="s">
        <v>1010</v>
      </c>
      <c r="D774" t="s">
        <v>62</v>
      </c>
      <c r="H774" s="2" t="s">
        <v>1770</v>
      </c>
      <c r="I774" t="s">
        <v>497</v>
      </c>
      <c r="J774" t="s">
        <v>66</v>
      </c>
      <c r="K774" t="s">
        <v>76</v>
      </c>
      <c r="L774" t="s">
        <v>497</v>
      </c>
      <c r="M774" t="s">
        <v>1768</v>
      </c>
      <c r="N774">
        <v>0</v>
      </c>
      <c r="P774" t="s">
        <v>68</v>
      </c>
      <c r="R774" t="s">
        <v>497</v>
      </c>
    </row>
    <row r="775" spans="1:18" ht="15" customHeight="1">
      <c r="A775" t="s">
        <v>1771</v>
      </c>
      <c r="B775" s="1">
        <v>46133.285949074074</v>
      </c>
      <c r="C775" t="s">
        <v>1010</v>
      </c>
      <c r="D775" t="s">
        <v>62</v>
      </c>
      <c r="H775" t="s">
        <v>1772</v>
      </c>
      <c r="I775" t="s">
        <v>497</v>
      </c>
      <c r="J775" t="s">
        <v>66</v>
      </c>
      <c r="K775" t="s">
        <v>76</v>
      </c>
      <c r="L775" t="s">
        <v>497</v>
      </c>
      <c r="M775" t="s">
        <v>1768</v>
      </c>
      <c r="N775">
        <v>0</v>
      </c>
      <c r="P775" t="s">
        <v>68</v>
      </c>
      <c r="R775" t="s">
        <v>497</v>
      </c>
    </row>
    <row r="776" spans="1:18" ht="15" customHeight="1">
      <c r="A776" t="s">
        <v>1773</v>
      </c>
      <c r="B776" s="1">
        <v>46133.420740740738</v>
      </c>
      <c r="C776" t="s">
        <v>61</v>
      </c>
      <c r="D776" t="s">
        <v>9</v>
      </c>
      <c r="H776" s="2" t="s">
        <v>1774</v>
      </c>
      <c r="I776" t="s">
        <v>1775</v>
      </c>
      <c r="J776" t="s">
        <v>75</v>
      </c>
      <c r="K776" t="s">
        <v>76</v>
      </c>
      <c r="L776" t="s">
        <v>1775</v>
      </c>
      <c r="N776">
        <v>1</v>
      </c>
      <c r="O776" s="1">
        <v>46133.42796296296</v>
      </c>
      <c r="Q776" t="s">
        <v>69</v>
      </c>
      <c r="R776" t="s">
        <v>1264</v>
      </c>
    </row>
    <row r="777" spans="1:18" ht="15" customHeight="1">
      <c r="A777" t="s">
        <v>1776</v>
      </c>
      <c r="B777" s="1">
        <v>46133.461863425924</v>
      </c>
      <c r="C777" t="s">
        <v>165</v>
      </c>
      <c r="D777" t="s">
        <v>1777</v>
      </c>
      <c r="H777" s="2" t="s">
        <v>1778</v>
      </c>
      <c r="I777" t="s">
        <v>146</v>
      </c>
      <c r="J777" t="s">
        <v>96</v>
      </c>
      <c r="K777" t="s">
        <v>76</v>
      </c>
      <c r="L777" t="s">
        <v>146</v>
      </c>
      <c r="N777">
        <v>0</v>
      </c>
      <c r="P777" t="s">
        <v>330</v>
      </c>
      <c r="R777" t="s">
        <v>1779</v>
      </c>
    </row>
    <row r="778" spans="1:18" ht="15" customHeight="1">
      <c r="A778" t="s">
        <v>1780</v>
      </c>
      <c r="B778" s="1">
        <v>46133.499652777777</v>
      </c>
      <c r="C778" t="s">
        <v>61</v>
      </c>
      <c r="D778" t="s">
        <v>9</v>
      </c>
      <c r="H778" t="s">
        <v>1191</v>
      </c>
      <c r="I778" t="s">
        <v>965</v>
      </c>
      <c r="J778" t="s">
        <v>75</v>
      </c>
      <c r="K778" t="s">
        <v>76</v>
      </c>
      <c r="L778" t="s">
        <v>965</v>
      </c>
      <c r="N778">
        <v>1</v>
      </c>
      <c r="O778" s="1">
        <v>46133.501932870371</v>
      </c>
      <c r="Q778" t="s">
        <v>69</v>
      </c>
      <c r="R778" t="s">
        <v>83</v>
      </c>
    </row>
    <row r="779" spans="1:18" ht="15" customHeight="1">
      <c r="A779" t="s">
        <v>1781</v>
      </c>
      <c r="B779" s="1">
        <v>46133.507291666669</v>
      </c>
      <c r="C779" t="s">
        <v>61</v>
      </c>
      <c r="D779" t="s">
        <v>9</v>
      </c>
      <c r="H779" t="s">
        <v>171</v>
      </c>
      <c r="I779" t="s">
        <v>309</v>
      </c>
      <c r="J779" t="s">
        <v>75</v>
      </c>
      <c r="K779" t="s">
        <v>76</v>
      </c>
      <c r="L779" t="s">
        <v>309</v>
      </c>
      <c r="N779">
        <v>1</v>
      </c>
      <c r="O779" s="1">
        <v>46133.509456018517</v>
      </c>
      <c r="Q779" t="s">
        <v>69</v>
      </c>
      <c r="R779" t="s">
        <v>92</v>
      </c>
    </row>
    <row r="780" spans="1:18" ht="15" customHeight="1">
      <c r="A780" t="s">
        <v>1782</v>
      </c>
      <c r="B780" s="1">
        <v>46133.595648148148</v>
      </c>
      <c r="C780" t="s">
        <v>61</v>
      </c>
      <c r="D780" t="s">
        <v>9</v>
      </c>
      <c r="H780" t="s">
        <v>171</v>
      </c>
      <c r="I780" t="s">
        <v>121</v>
      </c>
      <c r="J780" t="s">
        <v>75</v>
      </c>
      <c r="K780" t="s">
        <v>76</v>
      </c>
      <c r="L780" t="s">
        <v>121</v>
      </c>
      <c r="N780">
        <v>1</v>
      </c>
      <c r="O780" s="1">
        <v>46133.602546296293</v>
      </c>
      <c r="Q780" t="s">
        <v>69</v>
      </c>
      <c r="R780" t="s">
        <v>92</v>
      </c>
    </row>
    <row r="781" spans="1:18" ht="15" customHeight="1">
      <c r="A781" t="s">
        <v>1783</v>
      </c>
      <c r="B781" s="1">
        <v>46133.648287037038</v>
      </c>
      <c r="C781" t="s">
        <v>184</v>
      </c>
      <c r="D781" t="s">
        <v>9</v>
      </c>
      <c r="H781" t="s">
        <v>1784</v>
      </c>
      <c r="I781" t="s">
        <v>1058</v>
      </c>
      <c r="J781" t="s">
        <v>75</v>
      </c>
      <c r="K781" t="s">
        <v>81</v>
      </c>
      <c r="L781" t="s">
        <v>1058</v>
      </c>
      <c r="N781">
        <v>0</v>
      </c>
      <c r="P781" t="s">
        <v>97</v>
      </c>
      <c r="R781" t="s">
        <v>83</v>
      </c>
    </row>
    <row r="782" spans="1:18" ht="15" customHeight="1">
      <c r="A782" t="s">
        <v>1785</v>
      </c>
      <c r="B782" s="1">
        <v>46133.675520833334</v>
      </c>
      <c r="C782" t="s">
        <v>165</v>
      </c>
      <c r="D782" t="s">
        <v>9</v>
      </c>
      <c r="H782" s="2" t="s">
        <v>1786</v>
      </c>
      <c r="I782" t="s">
        <v>703</v>
      </c>
      <c r="J782" t="s">
        <v>75</v>
      </c>
      <c r="K782" t="s">
        <v>81</v>
      </c>
      <c r="L782" t="s">
        <v>703</v>
      </c>
      <c r="N782">
        <v>0</v>
      </c>
      <c r="P782" t="s">
        <v>82</v>
      </c>
      <c r="R782" t="s">
        <v>77</v>
      </c>
    </row>
    <row r="783" spans="1:18" ht="15" customHeight="1">
      <c r="A783" t="s">
        <v>1787</v>
      </c>
      <c r="B783" s="1">
        <v>46133.713217592594</v>
      </c>
      <c r="C783" t="s">
        <v>61</v>
      </c>
      <c r="D783" t="s">
        <v>9</v>
      </c>
      <c r="H783" t="s">
        <v>1191</v>
      </c>
      <c r="I783" t="s">
        <v>1788</v>
      </c>
      <c r="J783" t="s">
        <v>75</v>
      </c>
      <c r="K783" t="s">
        <v>76</v>
      </c>
      <c r="L783" t="s">
        <v>1788</v>
      </c>
      <c r="N783">
        <v>1</v>
      </c>
      <c r="O783" s="1">
        <v>46133.716481481482</v>
      </c>
      <c r="Q783" t="s">
        <v>147</v>
      </c>
      <c r="R783" t="s">
        <v>83</v>
      </c>
    </row>
    <row r="784" spans="1:18" ht="15" customHeight="1">
      <c r="A784" t="s">
        <v>1789</v>
      </c>
      <c r="B784" s="1">
        <v>46133.713888888888</v>
      </c>
      <c r="C784" t="s">
        <v>184</v>
      </c>
      <c r="D784" t="s">
        <v>9</v>
      </c>
      <c r="H784" s="2" t="s">
        <v>1790</v>
      </c>
      <c r="I784" t="s">
        <v>118</v>
      </c>
      <c r="J784" t="s">
        <v>75</v>
      </c>
      <c r="K784" t="s">
        <v>76</v>
      </c>
      <c r="L784" t="s">
        <v>118</v>
      </c>
      <c r="N784">
        <v>0</v>
      </c>
      <c r="P784" t="s">
        <v>97</v>
      </c>
      <c r="R784" t="s">
        <v>118</v>
      </c>
    </row>
    <row r="785" spans="1:18" ht="15" customHeight="1">
      <c r="A785" t="s">
        <v>1791</v>
      </c>
      <c r="B785" s="1">
        <v>46133.718541666669</v>
      </c>
      <c r="C785" t="s">
        <v>165</v>
      </c>
      <c r="D785" t="s">
        <v>9</v>
      </c>
      <c r="H785" s="2" t="s">
        <v>1792</v>
      </c>
      <c r="I785" t="s">
        <v>708</v>
      </c>
      <c r="J785" t="s">
        <v>75</v>
      </c>
      <c r="K785" t="s">
        <v>81</v>
      </c>
      <c r="L785" t="s">
        <v>708</v>
      </c>
      <c r="N785">
        <v>0</v>
      </c>
      <c r="P785" t="s">
        <v>82</v>
      </c>
      <c r="R785" t="s">
        <v>77</v>
      </c>
    </row>
    <row r="786" spans="1:18" ht="15" customHeight="1">
      <c r="A786" t="s">
        <v>1793</v>
      </c>
      <c r="B786" s="1">
        <v>46133.731979166667</v>
      </c>
      <c r="C786" t="s">
        <v>184</v>
      </c>
      <c r="D786" t="s">
        <v>9</v>
      </c>
      <c r="H786" s="2" t="s">
        <v>1794</v>
      </c>
      <c r="I786" t="s">
        <v>118</v>
      </c>
      <c r="J786" t="s">
        <v>75</v>
      </c>
      <c r="K786" t="s">
        <v>76</v>
      </c>
      <c r="L786" t="s">
        <v>118</v>
      </c>
      <c r="N786">
        <v>0</v>
      </c>
      <c r="P786" t="s">
        <v>97</v>
      </c>
      <c r="R786" t="s">
        <v>118</v>
      </c>
    </row>
    <row r="787" spans="1:18" ht="15" customHeight="1">
      <c r="A787" t="s">
        <v>1795</v>
      </c>
      <c r="B787" s="1">
        <v>46134.266377314816</v>
      </c>
      <c r="C787" t="s">
        <v>1010</v>
      </c>
      <c r="D787" t="s">
        <v>1218</v>
      </c>
      <c r="H787" t="s">
        <v>1796</v>
      </c>
      <c r="I787" t="s">
        <v>497</v>
      </c>
      <c r="J787" t="s">
        <v>66</v>
      </c>
      <c r="K787" t="s">
        <v>76</v>
      </c>
      <c r="L787" t="s">
        <v>497</v>
      </c>
      <c r="M787" t="s">
        <v>1768</v>
      </c>
      <c r="N787">
        <v>0</v>
      </c>
      <c r="P787" t="s">
        <v>68</v>
      </c>
      <c r="R787" t="s">
        <v>497</v>
      </c>
    </row>
    <row r="788" spans="1:18" ht="15" customHeight="1">
      <c r="A788" t="s">
        <v>1797</v>
      </c>
      <c r="B788" s="1">
        <v>46134.26871527778</v>
      </c>
      <c r="C788" t="s">
        <v>1010</v>
      </c>
      <c r="D788" t="s">
        <v>62</v>
      </c>
      <c r="H788" s="2" t="s">
        <v>1798</v>
      </c>
      <c r="I788" t="s">
        <v>497</v>
      </c>
      <c r="J788" t="s">
        <v>66</v>
      </c>
      <c r="K788" t="s">
        <v>76</v>
      </c>
      <c r="L788" t="s">
        <v>497</v>
      </c>
      <c r="M788" t="s">
        <v>1768</v>
      </c>
      <c r="N788">
        <v>0</v>
      </c>
      <c r="P788" t="s">
        <v>68</v>
      </c>
      <c r="R788" t="s">
        <v>497</v>
      </c>
    </row>
    <row r="789" spans="1:18" ht="15" customHeight="1">
      <c r="A789" t="s">
        <v>1799</v>
      </c>
      <c r="B789" s="1">
        <v>46134.47314814815</v>
      </c>
      <c r="C789" t="s">
        <v>184</v>
      </c>
      <c r="D789" t="s">
        <v>9</v>
      </c>
      <c r="H789" s="2" t="s">
        <v>1800</v>
      </c>
      <c r="I789" t="s">
        <v>634</v>
      </c>
      <c r="J789" t="s">
        <v>75</v>
      </c>
      <c r="K789" t="s">
        <v>76</v>
      </c>
      <c r="L789" t="s">
        <v>634</v>
      </c>
      <c r="N789">
        <v>0</v>
      </c>
      <c r="P789" t="s">
        <v>97</v>
      </c>
      <c r="R789" t="s">
        <v>118</v>
      </c>
    </row>
    <row r="790" spans="1:18" ht="15" customHeight="1">
      <c r="A790" t="s">
        <v>1801</v>
      </c>
      <c r="B790" s="1">
        <v>46134.485497685186</v>
      </c>
      <c r="C790" t="s">
        <v>61</v>
      </c>
      <c r="D790" t="s">
        <v>9</v>
      </c>
      <c r="H790" s="2" t="s">
        <v>174</v>
      </c>
      <c r="I790" t="s">
        <v>121</v>
      </c>
      <c r="J790" t="s">
        <v>75</v>
      </c>
      <c r="K790" t="s">
        <v>76</v>
      </c>
      <c r="L790" t="s">
        <v>121</v>
      </c>
      <c r="N790">
        <v>1</v>
      </c>
      <c r="O790" s="1">
        <v>46134.487604166665</v>
      </c>
      <c r="Q790" t="s">
        <v>147</v>
      </c>
      <c r="R790" t="s">
        <v>125</v>
      </c>
    </row>
    <row r="791" spans="1:18" ht="15" customHeight="1">
      <c r="A791" t="s">
        <v>1802</v>
      </c>
      <c r="B791" s="1">
        <v>46134.506342592591</v>
      </c>
      <c r="C791" t="s">
        <v>61</v>
      </c>
      <c r="D791" t="s">
        <v>9</v>
      </c>
      <c r="H791" s="2" t="s">
        <v>1803</v>
      </c>
      <c r="I791" t="s">
        <v>101</v>
      </c>
      <c r="J791" t="s">
        <v>75</v>
      </c>
      <c r="K791" t="s">
        <v>81</v>
      </c>
      <c r="L791" t="s">
        <v>101</v>
      </c>
      <c r="N791">
        <v>0</v>
      </c>
      <c r="O791" s="1">
        <v>46134.572280092594</v>
      </c>
      <c r="P791" t="s">
        <v>82</v>
      </c>
      <c r="Q791" t="s">
        <v>69</v>
      </c>
      <c r="R791" t="s">
        <v>155</v>
      </c>
    </row>
    <row r="792" spans="1:18" ht="15" customHeight="1">
      <c r="A792" t="s">
        <v>1804</v>
      </c>
      <c r="B792" s="1">
        <v>46134.597418981481</v>
      </c>
      <c r="C792" t="s">
        <v>61</v>
      </c>
      <c r="D792" t="s">
        <v>9</v>
      </c>
      <c r="H792" s="2" t="s">
        <v>174</v>
      </c>
      <c r="I792" t="s">
        <v>121</v>
      </c>
      <c r="J792" t="s">
        <v>75</v>
      </c>
      <c r="K792" t="s">
        <v>76</v>
      </c>
      <c r="L792" t="s">
        <v>121</v>
      </c>
      <c r="N792">
        <v>1</v>
      </c>
      <c r="O792" s="1">
        <v>46134.598275462966</v>
      </c>
      <c r="Q792" t="s">
        <v>176</v>
      </c>
      <c r="R792" t="s">
        <v>125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Celine PIVOT</dc:creator>
  <cp:keywords/>
  <dc:description/>
  <cp:lastModifiedBy>Louis CLUZEL</cp:lastModifiedBy>
  <cp:revision/>
  <dcterms:created xsi:type="dcterms:W3CDTF">2026-02-20T16:02:08Z</dcterms:created>
  <dcterms:modified xsi:type="dcterms:W3CDTF">2026-04-23T15:09:44Z</dcterms:modified>
  <cp:category/>
  <cp:contentStatus/>
</cp:coreProperties>
</file>